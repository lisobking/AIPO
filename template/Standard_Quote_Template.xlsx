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C566\Desktop\가온아이\업무 서류(견적, 계약 등)\사이트별 서류\유한양행\"/>
    </mc:Choice>
  </mc:AlternateContent>
  <xr:revisionPtr revIDLastSave="0" documentId="13_ncr:1_{CF48F246-062F-405E-A400-2667F0BCBBF4}" xr6:coauthVersionLast="47" xr6:coauthVersionMax="47" xr10:uidLastSave="{00000000-0000-0000-0000-000000000000}"/>
  <bookViews>
    <workbookView xWindow="-28920" yWindow="-45" windowWidth="29040" windowHeight="15840" xr2:uid="{2312F278-35BD-43B6-8969-4121AAB0341E}"/>
  </bookViews>
  <sheets>
    <sheet name="견적서" sheetId="9" r:id="rId1"/>
    <sheet name="Sheet2" sheetId="11" r:id="rId2"/>
    <sheet name="게시판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1.05gb_nonplug_drive" localSheetId="0">[1]Supplement2!#REF!</definedName>
    <definedName name="_1.05gb_nonplug_drive">[2]Supplement2!#REF!</definedName>
    <definedName name="_1.05gb_plug_drive" localSheetId="0">[1]Supplement2!#REF!</definedName>
    <definedName name="_1.05gb_plug_drive">[2]Supplement2!#REF!</definedName>
    <definedName name="_2.1gb_fastwide_plug_drive" localSheetId="0">[1]Supplement2!#REF!</definedName>
    <definedName name="_2.1gb_fastwide_plug_drive">[2]Supplement2!#REF!</definedName>
    <definedName name="_2.1gb_nonplug_drive" localSheetId="0">[1]Supplement2!#REF!</definedName>
    <definedName name="_2.1gb_nonplug_drive">[2]Supplement2!#REF!</definedName>
    <definedName name="_2.1gb_plug_drive" localSheetId="0">[1]Supplement2!#REF!</definedName>
    <definedName name="_2.1gb_plug_drive">[2]Supplement2!#REF!</definedName>
    <definedName name="_32mb_70nsmemory" localSheetId="0">[1]Supplement2!#REF!</definedName>
    <definedName name="_32mb_70nsmemory">[2]Supplement2!#REF!</definedName>
    <definedName name="_4.3gb_fastwide_plug_drive" localSheetId="0">[1]Supplement2!#REF!</definedName>
    <definedName name="_4.3gb_fastwide_plug_drive">[2]Supplement2!#REF!</definedName>
    <definedName name="_4.3gb_nonplug_drive" localSheetId="0">[1]Supplement2!#REF!</definedName>
    <definedName name="_4.3gb_nonplug_drive">[2]Supplement2!#REF!</definedName>
    <definedName name="_535mb_nonplug_drive" localSheetId="0">[1]Supplement2!#REF!</definedName>
    <definedName name="_535mb_nonplug_drive">[2]Supplement2!#REF!</definedName>
    <definedName name="_8mb_70nsmemory" localSheetId="0">[1]Supplement2!#REF!</definedName>
    <definedName name="_8mb_70nsmemory">[2]Supplement2!#REF!</definedName>
    <definedName name="_SMART_SCSIarray" localSheetId="0">[1]Supplement2!#REF!</definedName>
    <definedName name="_SMART_SCSIarray">[2]Supplement2!#REF!</definedName>
    <definedName name="_SRP1">#REF!</definedName>
    <definedName name="_US1">#REF!</definedName>
    <definedName name="Chart_1">"Chart 1"</definedName>
    <definedName name="cost">#REF!</definedName>
    <definedName name="DazzlerPCI_array" localSheetId="0">[1]Supplement2!#REF!</definedName>
    <definedName name="DazzlerPCI_array">[2]Supplement2!#REF!</definedName>
    <definedName name="GM">#REF!</definedName>
    <definedName name="MES분" localSheetId="0">[3]Supplement2!#REF!</definedName>
    <definedName name="MES분">[4]Supplement2!#REF!</definedName>
    <definedName name="minus">#REF!</definedName>
    <definedName name="PL_storage" localSheetId="0">[1]Supplement2!#REF!</definedName>
    <definedName name="PL_storage">[2]Supplement2!#REF!</definedName>
    <definedName name="PN" localSheetId="0">'[5]Upgrades pricing'!#REF!</definedName>
    <definedName name="PN">'[6]Upgrades pricing'!#REF!</definedName>
    <definedName name="_xlnm.Print_Area" localSheetId="0">견적서!$B$1:$I$27</definedName>
    <definedName name="_xlnm.Print_Titles">#REF!</definedName>
    <definedName name="Scorpion_M2_processor" localSheetId="0">[1]Supplement2!#REF!</definedName>
    <definedName name="Scorpion_M2_processor">[2]Supplement2!#REF!</definedName>
    <definedName name="Seawolf_M2_processor" localSheetId="0">[1]Supplement2!#REF!</definedName>
    <definedName name="Seawolf_M2_processor">[2]Supplement2!#REF!</definedName>
    <definedName name="seawolf_TRadder">#REF!</definedName>
    <definedName name="SRP">#REF!</definedName>
    <definedName name="Sturgeon_M2_processor" localSheetId="0">[1]Supplement2!#REF!</definedName>
    <definedName name="Sturgeon_M2_processor">[2]Supplement2!#REF!</definedName>
    <definedName name="TStorm_M2_Processor" localSheetId="0">[1]Supplement2!#REF!</definedName>
    <definedName name="TStorm_M2_Processor">[2]Supplement2!#REF!</definedName>
    <definedName name="UPG_PN">#REF!</definedName>
    <definedName name="가" localSheetId="0">#REF!</definedName>
    <definedName name="가">#REF!</definedName>
    <definedName name="게르" localSheetId="0">#REF!</definedName>
    <definedName name="게르">#REF!</definedName>
    <definedName name="게르마니12" localSheetId="0">#REF!</definedName>
    <definedName name="게르마니12">#REF!</definedName>
    <definedName name="기준단가표">[7]기준단가표!$A$3:$G$24</definedName>
    <definedName name="기준데이타" localSheetId="0">#REF!</definedName>
    <definedName name="기준데이타">#REF!</definedName>
    <definedName name="대양12" localSheetId="0">#REF!</definedName>
    <definedName name="대양12">#REF!</definedName>
    <definedName name="대양전기" localSheetId="0">#REF!</definedName>
    <definedName name="대양전기">#REF!</definedName>
    <definedName name="대양전기12" localSheetId="0">#REF!</definedName>
    <definedName name="대양전기12">#REF!</definedName>
    <definedName name="대양전기123" localSheetId="0">#REF!</definedName>
    <definedName name="대양전기123">#REF!</definedName>
    <definedName name="성창">#REF!</definedName>
    <definedName name="성창09.06">#REF!</definedName>
    <definedName name="정일" localSheetId="0">#REF!</definedName>
    <definedName name="정일">#REF!</definedName>
    <definedName name="제_품_명">견적서!#REF!</definedName>
    <definedName name="ㅣ라" localSheetId="0">#REF!</definedName>
    <definedName name="ㅣ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9" l="1"/>
  <c r="I14" i="9" s="1"/>
  <c r="I19" i="9" s="1"/>
  <c r="H14" i="9"/>
  <c r="H16" i="9"/>
  <c r="M16" i="9"/>
  <c r="B25" i="9"/>
  <c r="G23" i="9"/>
  <c r="G22" i="9"/>
  <c r="H22" i="9" s="1"/>
  <c r="G18" i="9"/>
  <c r="H17" i="9"/>
  <c r="H15" i="9"/>
  <c r="I11" i="9"/>
  <c r="H18" i="9" l="1"/>
  <c r="I25" i="9" l="1"/>
  <c r="B1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원성</author>
  </authors>
  <commentList>
    <comment ref="J11" authorId="0" shapeId="0" xr:uid="{2E8A813C-FCEA-4EFE-A177-EDF043C6C449}">
      <text>
        <r>
          <rPr>
            <sz val="9"/>
            <color rgb="FF000000"/>
            <rFont val="돋움"/>
            <family val="2"/>
            <charset val="129"/>
          </rPr>
          <t>별도</t>
        </r>
        <r>
          <rPr>
            <sz val="9"/>
            <color rgb="FF000000"/>
            <rFont val="돋움"/>
            <family val="2"/>
            <charset val="129"/>
          </rPr>
          <t xml:space="preserve"> : 0
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포함</t>
        </r>
        <r>
          <rPr>
            <sz val="9"/>
            <color rgb="FF000000"/>
            <rFont val="돋움"/>
            <family val="2"/>
            <charset val="129"/>
          </rPr>
          <t xml:space="preserve"> : 1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<sst xmlns="http://schemas.openxmlformats.org/spreadsheetml/2006/main" count="81" uniqueCount="79">
  <si>
    <t>비고</t>
    <phoneticPr fontId="1" type="noConversion"/>
  </si>
  <si>
    <t>개발요청 내용</t>
    <phoneticPr fontId="1" type="noConversion"/>
  </si>
  <si>
    <t>기 술 지 원    견  적  서</t>
    <phoneticPr fontId="8" type="noConversion"/>
  </si>
  <si>
    <t>◦ 견적 번호      :</t>
    <phoneticPr fontId="8" type="noConversion"/>
  </si>
  <si>
    <r>
      <rPr>
        <b/>
        <sz val="10"/>
        <rFont val="Times New Roman"/>
        <family val="1"/>
      </rPr>
      <t>◦</t>
    </r>
    <r>
      <rPr>
        <b/>
        <sz val="10"/>
        <rFont val="Malgun Gothic"/>
        <family val="3"/>
        <charset val="129"/>
      </rPr>
      <t xml:space="preserve"> 상       호   :</t>
    </r>
    <phoneticPr fontId="8" type="noConversion"/>
  </si>
  <si>
    <t xml:space="preserve"> ㈜가온아이</t>
    <phoneticPr fontId="8" type="noConversion"/>
  </si>
  <si>
    <t>◦ 수       신      :</t>
    <phoneticPr fontId="8" type="noConversion"/>
  </si>
  <si>
    <r>
      <rPr>
        <b/>
        <sz val="10"/>
        <rFont val="Times New Roman"/>
        <family val="1"/>
      </rPr>
      <t>◦</t>
    </r>
    <r>
      <rPr>
        <b/>
        <sz val="10"/>
        <rFont val="Malgun Gothic"/>
        <family val="3"/>
        <charset val="129"/>
      </rPr>
      <t xml:space="preserve"> 대표 이사   :</t>
    </r>
    <phoneticPr fontId="8" type="noConversion"/>
  </si>
  <si>
    <t>조  창  제          (인)</t>
    <phoneticPr fontId="8" type="noConversion"/>
  </si>
  <si>
    <t>◦ 참       조      :</t>
    <phoneticPr fontId="8" type="noConversion"/>
  </si>
  <si>
    <r>
      <rPr>
        <b/>
        <sz val="10"/>
        <rFont val="Times New Roman"/>
        <family val="1"/>
      </rPr>
      <t>◦</t>
    </r>
    <r>
      <rPr>
        <b/>
        <sz val="10"/>
        <rFont val="Malgun Gothic"/>
        <family val="3"/>
        <charset val="129"/>
      </rPr>
      <t xml:space="preserve"> 담  당  자   :</t>
    </r>
    <phoneticPr fontId="8" type="noConversion"/>
  </si>
  <si>
    <t>CS사업부 / 이효섭 팀장</t>
    <phoneticPr fontId="8" type="noConversion"/>
  </si>
  <si>
    <t>◦ 견적 일자      :</t>
    <phoneticPr fontId="8" type="noConversion"/>
  </si>
  <si>
    <r>
      <rPr>
        <b/>
        <sz val="10"/>
        <rFont val="Times New Roman"/>
        <family val="1"/>
      </rPr>
      <t>◦</t>
    </r>
    <r>
      <rPr>
        <b/>
        <sz val="10"/>
        <rFont val="Malgun Gothic"/>
        <family val="3"/>
        <charset val="129"/>
      </rPr>
      <t xml:space="preserve"> 전화 번호   :</t>
    </r>
    <phoneticPr fontId="8" type="noConversion"/>
  </si>
  <si>
    <t>02-2140-5808 / 010-4233-6876</t>
    <phoneticPr fontId="8" type="noConversion"/>
  </si>
  <si>
    <t>◦ 견적 유효      :</t>
    <phoneticPr fontId="8" type="noConversion"/>
  </si>
  <si>
    <t>견적일로 부터 60일 이내</t>
    <phoneticPr fontId="8" type="noConversion"/>
  </si>
  <si>
    <r>
      <rPr>
        <b/>
        <sz val="10"/>
        <rFont val="Times New Roman"/>
        <family val="1"/>
      </rPr>
      <t>◦</t>
    </r>
    <r>
      <rPr>
        <b/>
        <sz val="10"/>
        <rFont val="Malgun Gothic"/>
        <family val="3"/>
        <charset val="129"/>
      </rPr>
      <t xml:space="preserve">  e - Mail    :</t>
    </r>
    <phoneticPr fontId="8" type="noConversion"/>
  </si>
  <si>
    <t>lisobking@kaoni.com</t>
    <phoneticPr fontId="8" type="noConversion"/>
  </si>
  <si>
    <t>◦ 수신 팩스      :</t>
    <phoneticPr fontId="8" type="noConversion"/>
  </si>
  <si>
    <t>02-2140-5888</t>
    <phoneticPr fontId="8" type="noConversion"/>
  </si>
  <si>
    <t>부가세여부</t>
    <phoneticPr fontId="8" type="noConversion"/>
  </si>
  <si>
    <t>1. 그룹웨어시스템 기능개발</t>
  </si>
  <si>
    <t>구분</t>
    <phoneticPr fontId="8" type="noConversion"/>
  </si>
  <si>
    <t>내 역</t>
    <phoneticPr fontId="8" type="noConversion"/>
  </si>
  <si>
    <t>수량</t>
    <phoneticPr fontId="8" type="noConversion"/>
  </si>
  <si>
    <t>소비자가</t>
    <phoneticPr fontId="8" type="noConversion"/>
  </si>
  <si>
    <t>합계</t>
    <phoneticPr fontId="8" type="noConversion"/>
  </si>
  <si>
    <t>제안가 합계</t>
    <phoneticPr fontId="8" type="noConversion"/>
  </si>
  <si>
    <t>개발기술지원</t>
    <phoneticPr fontId="8" type="noConversion"/>
  </si>
  <si>
    <t>기능별</t>
    <phoneticPr fontId="8" type="noConversion"/>
  </si>
  <si>
    <t>항목 구분</t>
    <phoneticPr fontId="8" type="noConversion"/>
  </si>
  <si>
    <t>M/M</t>
    <phoneticPr fontId="8" type="noConversion"/>
  </si>
  <si>
    <t>단가</t>
    <phoneticPr fontId="8" type="noConversion"/>
  </si>
  <si>
    <t>제안금액</t>
    <phoneticPr fontId="8" type="noConversion"/>
  </si>
  <si>
    <t>설계</t>
    <phoneticPr fontId="8" type="noConversion"/>
  </si>
  <si>
    <t>* 요구사항 설계</t>
    <phoneticPr fontId="8" type="noConversion"/>
  </si>
  <si>
    <t>개발</t>
    <phoneticPr fontId="8" type="noConversion"/>
  </si>
  <si>
    <t>* 개발 (상세내역 첨부)</t>
    <phoneticPr fontId="8" type="noConversion"/>
  </si>
  <si>
    <t>이행</t>
    <phoneticPr fontId="8" type="noConversion"/>
  </si>
  <si>
    <t>* 테스트 및 운영서버 반영</t>
    <phoneticPr fontId="8" type="noConversion"/>
  </si>
  <si>
    <t>가온아이 노임단가 기준 소계</t>
    <phoneticPr fontId="8" type="noConversion"/>
  </si>
  <si>
    <t>적용요율</t>
    <phoneticPr fontId="8" type="noConversion"/>
  </si>
  <si>
    <t>소 계</t>
    <phoneticPr fontId="8" type="noConversion"/>
  </si>
  <si>
    <t>공급금액</t>
    <phoneticPr fontId="8" type="noConversion"/>
  </si>
  <si>
    <t>기준</t>
    <phoneticPr fontId="8" type="noConversion"/>
  </si>
  <si>
    <t>납품금액</t>
    <phoneticPr fontId="8" type="noConversion"/>
  </si>
  <si>
    <t>년유지보수료</t>
    <phoneticPr fontId="8" type="noConversion"/>
  </si>
  <si>
    <t>월유지보수료</t>
    <phoneticPr fontId="8" type="noConversion"/>
  </si>
  <si>
    <t>그룹웨어 공급단가</t>
    <phoneticPr fontId="8" type="noConversion"/>
  </si>
  <si>
    <t>ㅣ</t>
    <phoneticPr fontId="8" type="noConversion"/>
  </si>
  <si>
    <t>비       고</t>
    <phoneticPr fontId="8" type="noConversion"/>
  </si>
  <si>
    <t>메일 39</t>
    <phoneticPr fontId="1" type="noConversion"/>
  </si>
  <si>
    <t>결재 110</t>
    <phoneticPr fontId="1" type="noConversion"/>
  </si>
  <si>
    <t>일정 9</t>
    <phoneticPr fontId="1" type="noConversion"/>
  </si>
  <si>
    <t>자원 13</t>
    <phoneticPr fontId="1" type="noConversion"/>
  </si>
  <si>
    <t>메신저 2</t>
    <phoneticPr fontId="1" type="noConversion"/>
  </si>
  <si>
    <t>기타 8</t>
    <phoneticPr fontId="1" type="noConversion"/>
  </si>
  <si>
    <t>유한양행</t>
    <phoneticPr fontId="8" type="noConversion"/>
  </si>
  <si>
    <t>관리</t>
    <phoneticPr fontId="8" type="noConversion"/>
  </si>
  <si>
    <r>
      <rPr>
        <b/>
        <sz val="10"/>
        <rFont val="맑은 고딕"/>
        <family val="3"/>
        <charset val="129"/>
      </rPr>
      <t xml:space="preserve">* 기능개`발 기술지원 견적의 경우 비상주 개발 지원 견적입니다. </t>
    </r>
    <r>
      <rPr>
        <sz val="10"/>
        <rFont val="맑은 고딕"/>
        <family val="3"/>
        <charset val="129"/>
      </rPr>
      <t xml:space="preserve">
* 기술협의를 통한 상세 업무 분석 후 제안 공수 및 금액이 변경될 수 있습니다. 
</t>
    </r>
    <r>
      <rPr>
        <b/>
        <sz val="10"/>
        <rFont val="맑은 고딕"/>
        <family val="3"/>
        <charset val="129"/>
      </rPr>
      <t xml:space="preserve">* 유지보수 
  - 본 사업은 전자결재 연동 고도화사업임으로 무상하자보수기간은 적용 되지 않습니다. </t>
    </r>
    <phoneticPr fontId="1" type="noConversion"/>
  </si>
  <si>
    <t>* 프로젝트 관리</t>
    <phoneticPr fontId="8" type="noConversion"/>
  </si>
  <si>
    <r>
      <rPr>
        <b/>
        <sz val="10"/>
        <rFont val="맑은 고딕"/>
        <family val="3"/>
        <charset val="129"/>
      </rPr>
      <t xml:space="preserve">* 본 견적은 유한양행 그룹웨어 요구사항을 취합한 추가개발 기술지원 견적입니다. </t>
    </r>
    <r>
      <rPr>
        <sz val="10"/>
        <rFont val="맑은 고딕"/>
        <family val="3"/>
        <charset val="129"/>
      </rPr>
      <t xml:space="preserve">
* 기술협의를 통한 상세 업무 분석 후 제안 공수 및 금액이 변경될 수 있습니다.
* 해당사업은 단순기술지원 개선으로 산출물 미제공, Test 최소 지원의 견적입니다. .
* 유지보수 
  - 본 사업은 그룹웨어 추가개발 기술지원사업임으로 무상하자보수기간은 적용 되지 않습니다. </t>
    </r>
    <phoneticPr fontId="1" type="noConversion"/>
  </si>
  <si>
    <t>KAONI-CS2602107</t>
    <phoneticPr fontId="8" type="noConversion"/>
  </si>
  <si>
    <t>순번</t>
    <phoneticPr fontId="29" type="noConversion"/>
  </si>
  <si>
    <t>항목</t>
    <phoneticPr fontId="29" type="noConversion"/>
  </si>
  <si>
    <t>요구사항</t>
    <phoneticPr fontId="29" type="noConversion"/>
  </si>
  <si>
    <t>개발자 의견</t>
    <phoneticPr fontId="29" type="noConversion"/>
  </si>
  <si>
    <t>공수(단위:M/D)</t>
    <phoneticPr fontId="29" type="noConversion"/>
  </si>
  <si>
    <t>양식 추가</t>
    <phoneticPr fontId="29" type="noConversion"/>
  </si>
  <si>
    <t>기존에 없는 새로운 양식 2가지 추가
1. 자격증 취득 계획서
2. 자격증 결과 보고서</t>
    <phoneticPr fontId="29" type="noConversion"/>
  </si>
  <si>
    <t>전자인장 개발 시 책정했던 양식과 동일 공수 산정 예상</t>
    <phoneticPr fontId="29" type="noConversion"/>
  </si>
  <si>
    <t>양식 수정</t>
    <phoneticPr fontId="29" type="noConversion"/>
  </si>
  <si>
    <t>기존 4종에 대한 양식 수정</t>
    <phoneticPr fontId="29" type="noConversion"/>
  </si>
  <si>
    <t>1. 양식 연동 소스 수정 1 M/D
2. 양식 연동 소스 테스트  1M/D</t>
    <phoneticPr fontId="29" type="noConversion"/>
  </si>
  <si>
    <t>SSO</t>
    <phoneticPr fontId="29" type="noConversion"/>
  </si>
  <si>
    <t>기존 사용한 SSO URL 변경</t>
    <phoneticPr fontId="29" type="noConversion"/>
  </si>
  <si>
    <t>1. appsettings.json 변경
2. 관리자 페이지 &gt; SSO 연계시스템 등록 변경
3. 언어팩 추가
4. 양식 formID별 하드코딩 분기 소스에 추가</t>
    <phoneticPr fontId="29" type="noConversion"/>
  </si>
  <si>
    <t xml:space="preserve">유한양행 "신규양식 2종 포함 총 양식 6종 및 SSO 모듈 추가 기술지원"건으로 아래와 같이 견적을 제출 합니다.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</si>
</sst>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[$-F800]dddd\,\ mmmm\ dd\,\ yyyy"/>
    <numFmt numFmtId="177" formatCode="&quot;견적금액 : &quot;#,##0&quot;,000원 (VAT별도)&quot;;&quot;견적금액: &quot;\-#,##0,000&quot;원(VAT별도)&quot;"/>
    <numFmt numFmtId="178" formatCode="_-* #,##0_-;\-* #,##0_-;_-* &quot;-&quot;?_-;_-@_-"/>
    <numFmt numFmtId="179" formatCode="_-* #,##0.00_-;\-* #,##0.00_-;_-* &quot;-&quot;?_-;_-@_-"/>
    <numFmt numFmtId="180" formatCode="_-* #,##0_-;\-* #,##0_-;_-* &quot;-&quot;??_-;_-@_-"/>
  </numFmts>
  <fonts count="3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나눔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name val="Times New Roman"/>
      <family val="1"/>
    </font>
    <font>
      <b/>
      <sz val="10"/>
      <name val="Malgun Gothic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b/>
      <u/>
      <sz val="16"/>
      <color indexed="12"/>
      <name val="맑은 고딕"/>
      <family val="3"/>
      <charset val="129"/>
      <scheme val="minor"/>
    </font>
    <font>
      <b/>
      <u/>
      <sz val="14"/>
      <color indexed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00"/>
      <name val="돋움"/>
      <family val="2"/>
      <charset val="129"/>
    </font>
    <font>
      <sz val="9"/>
      <color rgb="FF000000"/>
      <name val="Tahoma"/>
      <family val="2"/>
    </font>
    <font>
      <b/>
      <sz val="10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E1F2"/>
        <bgColor rgb="FF000000"/>
      </patternFill>
    </fill>
  </fills>
  <borders count="6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1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6" fillId="0" borderId="0"/>
    <xf numFmtId="0" fontId="23" fillId="0" borderId="0"/>
    <xf numFmtId="0" fontId="16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11" fillId="0" borderId="9" xfId="1" applyFont="1" applyBorder="1" applyAlignment="1">
      <alignment horizontal="left" vertical="center"/>
    </xf>
    <xf numFmtId="0" fontId="10" fillId="0" borderId="9" xfId="1" applyFont="1" applyBorder="1" applyAlignment="1">
      <alignment horizontal="distributed" vertical="center"/>
    </xf>
    <xf numFmtId="41" fontId="11" fillId="0" borderId="9" xfId="2" applyFont="1" applyBorder="1" applyAlignment="1">
      <alignment horizontal="left" vertical="center"/>
    </xf>
    <xf numFmtId="0" fontId="11" fillId="0" borderId="9" xfId="1" applyFont="1" applyBorder="1" applyAlignment="1">
      <alignment vertical="center"/>
    </xf>
    <xf numFmtId="20" fontId="11" fillId="0" borderId="10" xfId="1" applyNumberFormat="1" applyFont="1" applyBorder="1" applyAlignment="1">
      <alignment horizontal="left" vertical="center"/>
    </xf>
    <xf numFmtId="0" fontId="4" fillId="0" borderId="10" xfId="1" applyFont="1" applyBorder="1" applyAlignment="1">
      <alignment vertical="center"/>
    </xf>
    <xf numFmtId="0" fontId="10" fillId="0" borderId="10" xfId="1" applyFont="1" applyBorder="1" applyAlignment="1">
      <alignment horizontal="distributed" vertical="center"/>
    </xf>
    <xf numFmtId="41" fontId="11" fillId="0" borderId="10" xfId="2" applyFont="1" applyBorder="1" applyAlignment="1">
      <alignment horizontal="left" vertical="center"/>
    </xf>
    <xf numFmtId="0" fontId="11" fillId="0" borderId="10" xfId="1" applyFont="1" applyBorder="1" applyAlignment="1">
      <alignment vertical="center"/>
    </xf>
    <xf numFmtId="176" fontId="11" fillId="0" borderId="10" xfId="1" applyNumberFormat="1" applyFont="1" applyBorder="1" applyAlignment="1">
      <alignment horizontal="left" vertical="center"/>
    </xf>
    <xf numFmtId="0" fontId="11" fillId="0" borderId="10" xfId="1" applyFont="1" applyBorder="1" applyAlignment="1">
      <alignment horizontal="left" vertical="center"/>
    </xf>
    <xf numFmtId="0" fontId="11" fillId="0" borderId="11" xfId="1" applyFont="1" applyBorder="1" applyAlignment="1">
      <alignment horizontal="left" vertical="center"/>
    </xf>
    <xf numFmtId="41" fontId="14" fillId="0" borderId="10" xfId="3" applyNumberFormat="1" applyBorder="1" applyAlignment="1" applyProtection="1">
      <alignment horizontal="left" vertical="center"/>
    </xf>
    <xf numFmtId="0" fontId="11" fillId="0" borderId="12" xfId="1" applyFont="1" applyBorder="1" applyAlignment="1">
      <alignment horizontal="left" vertical="center"/>
    </xf>
    <xf numFmtId="0" fontId="11" fillId="0" borderId="13" xfId="1" applyFont="1" applyBorder="1" applyAlignment="1">
      <alignment horizontal="distributed" vertical="center"/>
    </xf>
    <xf numFmtId="41" fontId="14" fillId="0" borderId="13" xfId="2" applyFont="1" applyBorder="1" applyAlignment="1" applyProtection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15" fillId="0" borderId="0" xfId="1" applyFont="1" applyAlignment="1">
      <alignment horizontal="left" vertical="center" indent="1"/>
    </xf>
    <xf numFmtId="0" fontId="11" fillId="0" borderId="0" xfId="1" applyFont="1" applyAlignment="1">
      <alignment horizontal="left" vertical="center"/>
    </xf>
    <xf numFmtId="0" fontId="11" fillId="0" borderId="0" xfId="4" applyFont="1" applyBorder="1" applyAlignment="1">
      <alignment horizontal="left" vertical="center"/>
    </xf>
    <xf numFmtId="41" fontId="4" fillId="0" borderId="0" xfId="2" applyFont="1" applyBorder="1" applyAlignment="1">
      <alignment vertical="center"/>
    </xf>
    <xf numFmtId="177" fontId="17" fillId="0" borderId="0" xfId="5" applyNumberFormat="1" applyFont="1" applyAlignment="1">
      <alignment vertical="center"/>
    </xf>
    <xf numFmtId="177" fontId="18" fillId="0" borderId="0" xfId="5" applyNumberFormat="1" applyFont="1" applyAlignment="1">
      <alignment vertical="center"/>
    </xf>
    <xf numFmtId="0" fontId="19" fillId="0" borderId="0" xfId="1" applyFont="1" applyAlignment="1">
      <alignment vertical="center"/>
    </xf>
    <xf numFmtId="3" fontId="19" fillId="0" borderId="0" xfId="1" applyNumberFormat="1" applyFont="1" applyAlignment="1">
      <alignment vertical="center"/>
    </xf>
    <xf numFmtId="41" fontId="19" fillId="0" borderId="0" xfId="2" applyFont="1" applyBorder="1" applyAlignment="1">
      <alignment vertical="center"/>
    </xf>
    <xf numFmtId="0" fontId="11" fillId="0" borderId="14" xfId="1" applyFont="1" applyBorder="1" applyAlignment="1">
      <alignment horizontal="center" vertical="center"/>
    </xf>
    <xf numFmtId="0" fontId="15" fillId="0" borderId="0" xfId="1" applyFont="1"/>
    <xf numFmtId="0" fontId="20" fillId="0" borderId="0" xfId="1" applyFont="1"/>
    <xf numFmtId="0" fontId="21" fillId="0" borderId="0" xfId="1" applyFont="1"/>
    <xf numFmtId="41" fontId="21" fillId="0" borderId="0" xfId="2" applyFont="1" applyBorder="1" applyAlignment="1"/>
    <xf numFmtId="0" fontId="21" fillId="0" borderId="0" xfId="1" applyFont="1" applyAlignment="1">
      <alignment horizontal="right"/>
    </xf>
    <xf numFmtId="0" fontId="4" fillId="0" borderId="15" xfId="1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6" fillId="0" borderId="23" xfId="4" applyFont="1" applyBorder="1" applyAlignment="1">
      <alignment horizontal="center" vertical="center" wrapText="1"/>
    </xf>
    <xf numFmtId="178" fontId="6" fillId="0" borderId="26" xfId="2" applyNumberFormat="1" applyFont="1" applyFill="1" applyBorder="1" applyAlignment="1">
      <alignment horizontal="center" vertical="center"/>
    </xf>
    <xf numFmtId="41" fontId="6" fillId="0" borderId="27" xfId="2" applyFont="1" applyFill="1" applyBorder="1" applyAlignment="1">
      <alignment horizontal="center" vertical="center"/>
    </xf>
    <xf numFmtId="41" fontId="6" fillId="0" borderId="28" xfId="2" applyFont="1" applyBorder="1" applyAlignment="1">
      <alignment horizontal="center" vertical="center"/>
    </xf>
    <xf numFmtId="0" fontId="6" fillId="0" borderId="0" xfId="4" applyFont="1" applyAlignment="1">
      <alignment horizontal="right" vertical="center"/>
    </xf>
    <xf numFmtId="0" fontId="6" fillId="0" borderId="30" xfId="4" applyFont="1" applyBorder="1" applyAlignment="1">
      <alignment horizontal="center" vertical="center" wrapText="1"/>
    </xf>
    <xf numFmtId="179" fontId="6" fillId="0" borderId="26" xfId="2" applyNumberFormat="1" applyFont="1" applyFill="1" applyBorder="1" applyAlignment="1">
      <alignment horizontal="center" vertical="center"/>
    </xf>
    <xf numFmtId="179" fontId="6" fillId="0" borderId="39" xfId="2" applyNumberFormat="1" applyFont="1" applyFill="1" applyBorder="1" applyAlignment="1">
      <alignment horizontal="center" vertical="center"/>
    </xf>
    <xf numFmtId="41" fontId="6" fillId="0" borderId="40" xfId="2" applyFont="1" applyFill="1" applyBorder="1" applyAlignment="1">
      <alignment horizontal="center" vertical="center"/>
    </xf>
    <xf numFmtId="0" fontId="6" fillId="0" borderId="42" xfId="4" applyFont="1" applyBorder="1" applyAlignment="1">
      <alignment horizontal="right" vertical="center"/>
    </xf>
    <xf numFmtId="9" fontId="6" fillId="0" borderId="48" xfId="8" applyFont="1" applyBorder="1" applyAlignment="1">
      <alignment horizontal="right" vertical="center"/>
    </xf>
    <xf numFmtId="0" fontId="21" fillId="0" borderId="49" xfId="4" applyFont="1" applyFill="1" applyBorder="1" applyAlignment="1">
      <alignment horizontal="right" vertical="center"/>
    </xf>
    <xf numFmtId="0" fontId="21" fillId="0" borderId="50" xfId="4" applyFont="1" applyFill="1" applyBorder="1" applyAlignment="1">
      <alignment horizontal="right" vertical="center"/>
    </xf>
    <xf numFmtId="0" fontId="21" fillId="0" borderId="51" xfId="4" applyFont="1" applyFill="1" applyBorder="1" applyAlignment="1">
      <alignment horizontal="right" vertical="center"/>
    </xf>
    <xf numFmtId="0" fontId="21" fillId="0" borderId="51" xfId="4" applyFont="1" applyFill="1" applyBorder="1" applyAlignment="1">
      <alignment horizontal="right" vertical="center" shrinkToFit="1"/>
    </xf>
    <xf numFmtId="9" fontId="21" fillId="0" borderId="51" xfId="4" applyNumberFormat="1" applyFont="1" applyFill="1" applyBorder="1" applyAlignment="1">
      <alignment horizontal="right" vertical="center"/>
    </xf>
    <xf numFmtId="41" fontId="21" fillId="0" borderId="51" xfId="2" applyFont="1" applyFill="1" applyBorder="1" applyAlignment="1">
      <alignment horizontal="right" vertical="center"/>
    </xf>
    <xf numFmtId="41" fontId="21" fillId="0" borderId="52" xfId="2" applyFont="1" applyFill="1" applyBorder="1" applyAlignment="1">
      <alignment horizontal="right" vertical="center"/>
    </xf>
    <xf numFmtId="0" fontId="21" fillId="0" borderId="0" xfId="4" applyFont="1" applyFill="1" applyBorder="1" applyAlignment="1">
      <alignment horizontal="right" vertical="center"/>
    </xf>
    <xf numFmtId="0" fontId="21" fillId="0" borderId="53" xfId="4" applyFont="1" applyFill="1" applyBorder="1" applyAlignment="1">
      <alignment horizontal="right" vertical="center"/>
    </xf>
    <xf numFmtId="0" fontId="21" fillId="5" borderId="2" xfId="4" applyFont="1" applyFill="1" applyBorder="1" applyAlignment="1">
      <alignment horizontal="center" vertical="center" shrinkToFit="1"/>
    </xf>
    <xf numFmtId="41" fontId="21" fillId="5" borderId="2" xfId="2" applyFont="1" applyFill="1" applyBorder="1" applyAlignment="1">
      <alignment horizontal="center" vertical="center"/>
    </xf>
    <xf numFmtId="41" fontId="21" fillId="5" borderId="2" xfId="2" applyFont="1" applyFill="1" applyBorder="1" applyAlignment="1">
      <alignment vertical="center"/>
    </xf>
    <xf numFmtId="41" fontId="21" fillId="0" borderId="49" xfId="2" applyFont="1" applyFill="1" applyBorder="1" applyAlignment="1">
      <alignment horizontal="right" vertical="center"/>
    </xf>
    <xf numFmtId="41" fontId="11" fillId="4" borderId="23" xfId="2" applyFont="1" applyFill="1" applyBorder="1" applyAlignment="1">
      <alignment horizontal="center" vertical="center" shrinkToFit="1"/>
    </xf>
    <xf numFmtId="41" fontId="11" fillId="4" borderId="23" xfId="2" applyFont="1" applyFill="1" applyBorder="1" applyAlignment="1">
      <alignment vertical="center"/>
    </xf>
    <xf numFmtId="180" fontId="11" fillId="4" borderId="56" xfId="2" applyNumberFormat="1" applyFont="1" applyFill="1" applyBorder="1" applyAlignment="1">
      <alignment vertical="center"/>
    </xf>
    <xf numFmtId="41" fontId="21" fillId="0" borderId="57" xfId="2" applyFont="1" applyFill="1" applyBorder="1" applyAlignment="1">
      <alignment horizontal="center" vertical="center" shrinkToFit="1"/>
    </xf>
    <xf numFmtId="41" fontId="5" fillId="0" borderId="3" xfId="2" applyFont="1" applyFill="1" applyBorder="1" applyAlignment="1">
      <alignment vertical="center"/>
    </xf>
    <xf numFmtId="41" fontId="5" fillId="0" borderId="59" xfId="2" applyFont="1" applyFill="1" applyBorder="1" applyAlignment="1">
      <alignment vertical="center"/>
    </xf>
    <xf numFmtId="0" fontId="21" fillId="0" borderId="0" xfId="4" applyFont="1" applyFill="1" applyBorder="1" applyAlignment="1">
      <alignment horizontal="right" vertical="center" shrinkToFit="1"/>
    </xf>
    <xf numFmtId="9" fontId="21" fillId="0" borderId="0" xfId="4" applyNumberFormat="1" applyFont="1" applyFill="1" applyBorder="1" applyAlignment="1">
      <alignment horizontal="right" vertical="center"/>
    </xf>
    <xf numFmtId="41" fontId="21" fillId="0" borderId="13" xfId="2" applyFont="1" applyFill="1" applyBorder="1" applyAlignment="1">
      <alignment horizontal="right" vertical="center"/>
    </xf>
    <xf numFmtId="41" fontId="21" fillId="0" borderId="0" xfId="2" applyFont="1" applyFill="1" applyBorder="1" applyAlignment="1">
      <alignment horizontal="right" vertical="center"/>
    </xf>
    <xf numFmtId="0" fontId="21" fillId="0" borderId="0" xfId="4" applyFont="1" applyAlignment="1">
      <alignment vertical="center"/>
    </xf>
    <xf numFmtId="41" fontId="11" fillId="6" borderId="63" xfId="2" applyFont="1" applyFill="1" applyBorder="1" applyAlignment="1">
      <alignment vertical="center"/>
    </xf>
    <xf numFmtId="43" fontId="21" fillId="0" borderId="0" xfId="4" applyNumberFormat="1" applyFont="1" applyAlignment="1">
      <alignment vertical="center"/>
    </xf>
    <xf numFmtId="41" fontId="21" fillId="0" borderId="0" xfId="2" applyFont="1" applyAlignment="1">
      <alignment vertical="center"/>
    </xf>
    <xf numFmtId="0" fontId="6" fillId="0" borderId="0" xfId="4" applyFont="1" applyAlignment="1">
      <alignment vertical="center"/>
    </xf>
    <xf numFmtId="0" fontId="21" fillId="0" borderId="0" xfId="4" applyFont="1" applyAlignment="1">
      <alignment horizontal="center" vertical="center"/>
    </xf>
    <xf numFmtId="0" fontId="21" fillId="0" borderId="0" xfId="4" applyFont="1" applyBorder="1" applyAlignment="1">
      <alignment horizontal="center" vertical="center"/>
    </xf>
    <xf numFmtId="0" fontId="21" fillId="0" borderId="0" xfId="4" applyFont="1" applyBorder="1" applyAlignment="1">
      <alignment vertical="center"/>
    </xf>
    <xf numFmtId="41" fontId="21" fillId="0" borderId="0" xfId="2" applyFont="1" applyBorder="1" applyAlignment="1">
      <alignment vertical="center"/>
    </xf>
    <xf numFmtId="0" fontId="21" fillId="0" borderId="5" xfId="4" applyFont="1" applyBorder="1" applyAlignment="1">
      <alignment horizontal="center" vertical="center" wrapText="1"/>
    </xf>
    <xf numFmtId="0" fontId="25" fillId="0" borderId="0" xfId="4" applyFont="1" applyAlignment="1">
      <alignment horizontal="left" vertical="center"/>
    </xf>
    <xf numFmtId="38" fontId="22" fillId="7" borderId="16" xfId="5" applyNumberFormat="1" applyFont="1" applyFill="1" applyBorder="1" applyAlignment="1">
      <alignment horizontal="center" vertical="center"/>
    </xf>
    <xf numFmtId="38" fontId="22" fillId="7" borderId="20" xfId="5" applyNumberFormat="1" applyFont="1" applyFill="1" applyBorder="1" applyAlignment="1">
      <alignment horizontal="center" vertical="center" wrapText="1"/>
    </xf>
    <xf numFmtId="38" fontId="22" fillId="7" borderId="20" xfId="5" applyNumberFormat="1" applyFont="1" applyFill="1" applyBorder="1" applyAlignment="1">
      <alignment horizontal="center" vertical="center"/>
    </xf>
    <xf numFmtId="41" fontId="22" fillId="7" borderId="20" xfId="2" applyFont="1" applyFill="1" applyBorder="1" applyAlignment="1">
      <alignment horizontal="center" vertical="center"/>
    </xf>
    <xf numFmtId="38" fontId="22" fillId="7" borderId="21" xfId="5" applyNumberFormat="1" applyFont="1" applyFill="1" applyBorder="1" applyAlignment="1">
      <alignment horizontal="center" vertical="center"/>
    </xf>
    <xf numFmtId="41" fontId="5" fillId="5" borderId="47" xfId="2" applyFont="1" applyFill="1" applyBorder="1" applyAlignment="1">
      <alignment horizontal="right" vertical="center"/>
    </xf>
    <xf numFmtId="0" fontId="24" fillId="6" borderId="60" xfId="4" applyFont="1" applyFill="1" applyBorder="1" applyAlignment="1">
      <alignment horizontal="center" vertical="center"/>
    </xf>
    <xf numFmtId="0" fontId="24" fillId="6" borderId="61" xfId="4" applyFont="1" applyFill="1" applyBorder="1" applyAlignment="1">
      <alignment horizontal="center" vertical="center"/>
    </xf>
    <xf numFmtId="0" fontId="24" fillId="6" borderId="62" xfId="4" applyFont="1" applyFill="1" applyBorder="1" applyAlignment="1">
      <alignment horizontal="center" vertical="center"/>
    </xf>
    <xf numFmtId="0" fontId="9" fillId="0" borderId="64" xfId="4" applyFont="1" applyBorder="1" applyAlignment="1">
      <alignment horizontal="left" vertical="center" wrapText="1"/>
    </xf>
    <xf numFmtId="0" fontId="21" fillId="0" borderId="6" xfId="4" applyFont="1" applyBorder="1" applyAlignment="1">
      <alignment horizontal="left" vertical="center" wrapText="1"/>
    </xf>
    <xf numFmtId="0" fontId="21" fillId="0" borderId="7" xfId="4" applyFont="1" applyBorder="1" applyAlignment="1">
      <alignment horizontal="left" vertical="center" wrapText="1"/>
    </xf>
    <xf numFmtId="180" fontId="6" fillId="0" borderId="34" xfId="2" applyNumberFormat="1" applyFont="1" applyBorder="1" applyAlignment="1">
      <alignment horizontal="center" vertical="center"/>
    </xf>
    <xf numFmtId="180" fontId="6" fillId="0" borderId="36" xfId="2" applyNumberFormat="1" applyFont="1" applyBorder="1" applyAlignment="1">
      <alignment horizontal="center" vertical="center"/>
    </xf>
    <xf numFmtId="180" fontId="6" fillId="0" borderId="41" xfId="2" applyNumberFormat="1" applyFont="1" applyBorder="1" applyAlignment="1">
      <alignment horizontal="center" vertical="center"/>
    </xf>
    <xf numFmtId="0" fontId="21" fillId="5" borderId="54" xfId="4" applyFont="1" applyFill="1" applyBorder="1" applyAlignment="1">
      <alignment horizontal="center" vertical="center" shrinkToFit="1"/>
    </xf>
    <xf numFmtId="0" fontId="21" fillId="5" borderId="3" xfId="4" applyFont="1" applyFill="1" applyBorder="1" applyAlignment="1">
      <alignment horizontal="center" vertical="center" shrinkToFit="1"/>
    </xf>
    <xf numFmtId="0" fontId="21" fillId="5" borderId="57" xfId="4" applyFont="1" applyFill="1" applyBorder="1" applyAlignment="1">
      <alignment horizontal="center" vertical="center" shrinkToFit="1"/>
    </xf>
    <xf numFmtId="0" fontId="21" fillId="5" borderId="44" xfId="4" applyFont="1" applyFill="1" applyBorder="1" applyAlignment="1">
      <alignment horizontal="center" vertical="center"/>
    </xf>
    <xf numFmtId="0" fontId="21" fillId="5" borderId="55" xfId="4" applyFont="1" applyFill="1" applyBorder="1" applyAlignment="1">
      <alignment horizontal="center" vertical="center"/>
    </xf>
    <xf numFmtId="0" fontId="11" fillId="4" borderId="24" xfId="4" applyFont="1" applyFill="1" applyBorder="1" applyAlignment="1">
      <alignment horizontal="left" vertical="center"/>
    </xf>
    <xf numFmtId="0" fontId="11" fillId="4" borderId="56" xfId="4" applyFont="1" applyFill="1" applyBorder="1" applyAlignment="1">
      <alignment horizontal="left" vertical="center"/>
    </xf>
    <xf numFmtId="0" fontId="21" fillId="0" borderId="37" xfId="4" applyFont="1" applyFill="1" applyBorder="1" applyAlignment="1">
      <alignment horizontal="left" vertical="center" wrapText="1"/>
    </xf>
    <xf numFmtId="0" fontId="21" fillId="0" borderId="58" xfId="4" applyFont="1" applyFill="1" applyBorder="1" applyAlignment="1">
      <alignment horizontal="left" vertical="center" wrapText="1"/>
    </xf>
    <xf numFmtId="0" fontId="11" fillId="0" borderId="10" xfId="1" applyFont="1" applyBorder="1" applyAlignment="1">
      <alignment horizontal="distributed" vertical="center"/>
    </xf>
    <xf numFmtId="0" fontId="11" fillId="0" borderId="12" xfId="1" applyFont="1" applyBorder="1" applyAlignment="1">
      <alignment horizontal="distributed" vertical="center"/>
    </xf>
    <xf numFmtId="38" fontId="22" fillId="7" borderId="17" xfId="5" applyNumberFormat="1" applyFont="1" applyFill="1" applyBorder="1" applyAlignment="1">
      <alignment horizontal="center" vertical="center"/>
    </xf>
    <xf numFmtId="38" fontId="22" fillId="7" borderId="18" xfId="5" applyNumberFormat="1" applyFont="1" applyFill="1" applyBorder="1" applyAlignment="1">
      <alignment horizontal="center" vertical="center"/>
    </xf>
    <xf numFmtId="38" fontId="22" fillId="7" borderId="19" xfId="5" applyNumberFormat="1" applyFont="1" applyFill="1" applyBorder="1" applyAlignment="1">
      <alignment horizontal="center" vertical="center"/>
    </xf>
    <xf numFmtId="0" fontId="6" fillId="0" borderId="22" xfId="4" applyFont="1" applyBorder="1" applyAlignment="1">
      <alignment horizontal="center" vertical="center" wrapText="1"/>
    </xf>
    <xf numFmtId="0" fontId="6" fillId="0" borderId="29" xfId="4" applyFont="1" applyBorder="1" applyAlignment="1">
      <alignment horizontal="center" vertical="center" wrapText="1"/>
    </xf>
    <xf numFmtId="0" fontId="6" fillId="0" borderId="43" xfId="4" applyFont="1" applyBorder="1" applyAlignment="1">
      <alignment horizontal="center" vertical="center" wrapText="1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31" xfId="6" applyFont="1" applyBorder="1" applyAlignment="1">
      <alignment horizontal="left" vertical="center"/>
    </xf>
    <xf numFmtId="0" fontId="6" fillId="0" borderId="32" xfId="6" applyFont="1" applyBorder="1" applyAlignment="1">
      <alignment horizontal="left" vertical="center"/>
    </xf>
    <xf numFmtId="0" fontId="6" fillId="0" borderId="31" xfId="6" applyFont="1" applyBorder="1" applyAlignment="1">
      <alignment horizontal="left" vertical="center" wrapText="1"/>
    </xf>
    <xf numFmtId="0" fontId="6" fillId="0" borderId="32" xfId="6" applyFont="1" applyBorder="1" applyAlignment="1">
      <alignment horizontal="left" vertical="center" wrapText="1"/>
    </xf>
    <xf numFmtId="49" fontId="6" fillId="0" borderId="37" xfId="7" quotePrefix="1" applyNumberFormat="1" applyFont="1" applyBorder="1" applyAlignment="1" applyProtection="1">
      <alignment horizontal="center" vertical="center" wrapText="1"/>
      <protection locked="0"/>
    </xf>
    <xf numFmtId="49" fontId="6" fillId="0" borderId="12" xfId="7" quotePrefix="1" applyNumberFormat="1" applyFont="1" applyBorder="1" applyAlignment="1" applyProtection="1">
      <alignment horizontal="center" vertical="center" wrapText="1"/>
      <protection locked="0"/>
    </xf>
    <xf numFmtId="49" fontId="6" fillId="0" borderId="38" xfId="7" quotePrefix="1" applyNumberFormat="1" applyFont="1" applyBorder="1" applyAlignment="1" applyProtection="1">
      <alignment horizontal="center" vertical="center" wrapText="1"/>
      <protection locked="0"/>
    </xf>
    <xf numFmtId="0" fontId="5" fillId="5" borderId="44" xfId="4" applyFont="1" applyFill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0" fontId="5" fillId="5" borderId="46" xfId="4" applyFont="1" applyFill="1" applyBorder="1" applyAlignment="1">
      <alignment horizontal="center" vertical="center"/>
    </xf>
    <xf numFmtId="41" fontId="6" fillId="0" borderId="33" xfId="2" applyFont="1" applyFill="1" applyBorder="1" applyAlignment="1">
      <alignment horizontal="center" vertical="center"/>
    </xf>
    <xf numFmtId="41" fontId="6" fillId="0" borderId="35" xfId="2" applyFont="1" applyFill="1" applyBorder="1" applyAlignment="1">
      <alignment horizontal="center" vertical="center"/>
    </xf>
    <xf numFmtId="41" fontId="6" fillId="0" borderId="65" xfId="2" applyFont="1" applyFill="1" applyBorder="1" applyAlignment="1">
      <alignment horizontal="center" vertical="center"/>
    </xf>
    <xf numFmtId="0" fontId="5" fillId="0" borderId="4" xfId="1" applyFont="1" applyBorder="1" applyAlignment="1">
      <alignment horizontal="right" wrapText="1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11" fillId="0" borderId="8" xfId="1" applyFont="1" applyBorder="1" applyAlignment="1">
      <alignment horizontal="distributed" vertical="center"/>
    </xf>
    <xf numFmtId="0" fontId="28" fillId="8" borderId="2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0" fillId="9" borderId="54" xfId="0" applyFont="1" applyFill="1" applyBorder="1" applyAlignment="1">
      <alignment horizontal="center" vertical="center"/>
    </xf>
    <xf numFmtId="0" fontId="30" fillId="9" borderId="54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30" fillId="10" borderId="2" xfId="0" applyFont="1" applyFill="1" applyBorder="1" applyAlignment="1">
      <alignment horizontal="left" vertical="center" wrapText="1"/>
    </xf>
    <xf numFmtId="0" fontId="30" fillId="0" borderId="2" xfId="0" applyFont="1" applyBorder="1" applyAlignment="1">
      <alignment horizontal="center" vertical="center" wrapText="1"/>
    </xf>
    <xf numFmtId="0" fontId="31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</cellXfs>
  <cellStyles count="11">
    <cellStyle name="=C:\WINNT\SYSTEM32\COMMAND.COM" xfId="4" xr:uid="{DFE14BD8-52A4-416B-9303-88B01B189646}"/>
    <cellStyle name="백분율 2" xfId="8" xr:uid="{4FEFE7FF-2351-437A-909F-4BC7D5AB02B1}"/>
    <cellStyle name="쉼표 [0] 2" xfId="2" xr:uid="{5815597A-CFDC-45CE-8C85-18549A894B92}"/>
    <cellStyle name="쉼표 [0] 2 2" xfId="10" xr:uid="{F622D56F-C3B5-4787-B36A-B7592E0DF683}"/>
    <cellStyle name="쉼표 [0] 2 3" xfId="9" xr:uid="{B3884943-16C2-48C9-B32E-F78B3CC38BD5}"/>
    <cellStyle name="스타일 1" xfId="5" xr:uid="{80E931B3-39A8-481B-94A3-1588E18679C1}"/>
    <cellStyle name="표준" xfId="0" builtinId="0"/>
    <cellStyle name="표준_견적서(E)" xfId="6" xr:uid="{3AE3DA7E-FECF-42B6-9B79-1F1C0A1F72FF}"/>
    <cellStyle name="표준_철도기술공사_EKP07_070206" xfId="7" xr:uid="{2EB27DAC-9483-426B-8504-24014085A666}"/>
    <cellStyle name="표준_한국CA-항만터미널_0420_M1500외" xfId="1" xr:uid="{8555F097-46CE-4C09-8790-B4B44EFAD02E}"/>
    <cellStyle name="하이퍼링크 2" xfId="3" xr:uid="{82640890-F7E6-425D-A73F-1790F6B8B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19807</xdr:colOff>
      <xdr:row>2</xdr:row>
      <xdr:rowOff>2657</xdr:rowOff>
    </xdr:from>
    <xdr:to>
      <xdr:col>8</xdr:col>
      <xdr:colOff>621527</xdr:colOff>
      <xdr:row>4</xdr:row>
      <xdr:rowOff>79608</xdr:rowOff>
    </xdr:to>
    <xdr:pic>
      <xdr:nvPicPr>
        <xdr:cNvPr id="2" name="Picture 6" descr="가온아이_인감2">
          <a:extLst>
            <a:ext uri="{FF2B5EF4-FFF2-40B4-BE49-F238E27FC236}">
              <a16:creationId xmlns:a16="http://schemas.microsoft.com/office/drawing/2014/main" id="{A48DD595-42DC-4A9C-9C2F-DCB692F2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2">
              <a:tint val="45000"/>
              <a:satMod val="400000"/>
            </a:schemeClr>
          </a:duotone>
          <a:lum bright="3000" contrast="27000"/>
        </a:blip>
        <a:srcRect l="4437" t="4411" r="6114" b="6569"/>
        <a:stretch>
          <a:fillRect/>
        </a:stretch>
      </xdr:blipFill>
      <xdr:spPr bwMode="auto">
        <a:xfrm>
          <a:off x="6862567" y="863717"/>
          <a:ext cx="601720" cy="5798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76200</xdr:colOff>
      <xdr:row>0</xdr:row>
      <xdr:rowOff>38100</xdr:rowOff>
    </xdr:from>
    <xdr:to>
      <xdr:col>2</xdr:col>
      <xdr:colOff>472440</xdr:colOff>
      <xdr:row>0</xdr:row>
      <xdr:rowOff>403860</xdr:rowOff>
    </xdr:to>
    <xdr:pic>
      <xdr:nvPicPr>
        <xdr:cNvPr id="3" name="Picture 7" descr="Logo041021033111">
          <a:extLst>
            <a:ext uri="{FF2B5EF4-FFF2-40B4-BE49-F238E27FC236}">
              <a16:creationId xmlns:a16="http://schemas.microsoft.com/office/drawing/2014/main" id="{216CC03A-D526-4345-B91A-3576C9E68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0" t="6198" r="11646" b="12672"/>
        <a:stretch>
          <a:fillRect/>
        </a:stretch>
      </xdr:blipFill>
      <xdr:spPr bwMode="auto">
        <a:xfrm>
          <a:off x="365760" y="38100"/>
          <a:ext cx="8382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222.103.66.135/swdigital/&#54616;&#51088;/&#44204;&#51201;/&#54805;/2002/&#49457;&#44305;&#51204;&#51088;/BMAIL/INBOX/HSOH/TEMP/IPG0696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18.158.2.6/bl/&#54616;&#51088;/&#44204;&#51201;/&#54805;/2002/&#49457;&#44305;&#51204;&#51088;/BMAIL/INBOX/HSOH/TEMP/IPG0696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222.103.66.135/swdigital/&#54616;&#51088;/&#45236;&#47564;/&#54805;&#44204;&#51201;/2002/&#49457;&#44305;&#51204;&#51088;/BMAIL/INBOX/HSOH/TEMP/IPG0696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18.158.2.6/bl/&#54616;&#51088;/&#45236;&#47564;/&#54805;&#44204;&#51201;/2002/&#49457;&#44305;&#51204;&#51088;/BMAIL/INBOX/HSOH/TEMP/IPG0696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222.103.66.135/swdigital/&#54616;&#51088;/&#44204;&#51201;/&#54805;/2002/&#49457;&#44305;&#51204;&#51088;/WINDOWS/TEMP/ARC95PR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18.158.2.6/bl/&#54616;&#51088;/&#44204;&#51201;/&#54805;/2002/&#49457;&#44305;&#51204;&#51088;/WINDOWS/TEMP/ARC95PR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WWW/&#48120;&#49892;&#51060;&#51088;&#47308;/&#53685;&#54633;&#51088;&#47308;&#49892;/&#54617;&#45236;&#47581;-&#45824;&#44396;&#49884;/&#44204;&#51201;&#49436;&#47784;&#51020;/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ement2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ement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ement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ement2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rades pricing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기준단가표"/>
      <sheetName val="방촌초"/>
      <sheetName val="범어초"/>
      <sheetName val="동신초"/>
      <sheetName val="율하초"/>
      <sheetName val="노변초"/>
      <sheetName val="안일초"/>
      <sheetName val="지묘초"/>
      <sheetName val="해안초"/>
      <sheetName val="범물초"/>
      <sheetName val="동원초"/>
      <sheetName val="입석초"/>
      <sheetName val="두산초"/>
      <sheetName val="고산초"/>
      <sheetName val="효목초"/>
      <sheetName val="욱수초"/>
      <sheetName val="수성중"/>
      <sheetName val="덕화여중"/>
      <sheetName val="대구동중"/>
      <sheetName val="동도여중"/>
      <sheetName val="시지여중"/>
      <sheetName val="영신중"/>
      <sheetName val="오성중"/>
      <sheetName val="성명여중"/>
      <sheetName val="중앙중"/>
      <sheetName val="대명여중"/>
      <sheetName val="Sheet2"/>
      <sheetName val="Sheet3"/>
      <sheetName val="Sheet25"/>
      <sheetName val="Sheet1"/>
      <sheetName val="(실사조정)총괄"/>
    </sheetNames>
    <sheetDataSet>
      <sheetData sheetId="0"/>
      <sheetData sheetId="1" refreshError="1">
        <row r="3">
          <cell r="A3">
            <v>1</v>
          </cell>
          <cell r="B3" t="str">
            <v xml:space="preserve">학내망 서버 </v>
          </cell>
          <cell r="C3" t="str">
            <v xml:space="preserve"> HP Netserver LC 3 </v>
          </cell>
          <cell r="D3">
            <v>1</v>
          </cell>
          <cell r="E3" t="str">
            <v>EA</v>
          </cell>
          <cell r="F3">
            <v>9800000</v>
          </cell>
        </row>
        <row r="4">
          <cell r="A4">
            <v>2</v>
          </cell>
          <cell r="B4" t="str">
            <v>Switch 4000M</v>
          </cell>
          <cell r="C4" t="str">
            <v xml:space="preserve"> 40 Port</v>
          </cell>
          <cell r="D4">
            <v>1</v>
          </cell>
          <cell r="E4" t="str">
            <v>EA</v>
          </cell>
          <cell r="F4">
            <v>5770000</v>
          </cell>
        </row>
        <row r="5">
          <cell r="A5">
            <v>3</v>
          </cell>
          <cell r="B5" t="str">
            <v>Switch 4000M (Module)</v>
          </cell>
          <cell r="C5" t="str">
            <v xml:space="preserve"> 8 Port</v>
          </cell>
          <cell r="D5">
            <v>1</v>
          </cell>
          <cell r="E5" t="str">
            <v>EA</v>
          </cell>
          <cell r="F5">
            <v>960000</v>
          </cell>
        </row>
        <row r="6">
          <cell r="A6">
            <v>4</v>
          </cell>
          <cell r="B6" t="str">
            <v>ROUTER</v>
          </cell>
          <cell r="C6" t="str">
            <v xml:space="preserve"> 2E/2S Dram 8M, Flash 8M</v>
          </cell>
          <cell r="D6">
            <v>1</v>
          </cell>
          <cell r="E6" t="str">
            <v>EA</v>
          </cell>
          <cell r="F6">
            <v>3200000</v>
          </cell>
          <cell r="G6" t="str">
            <v>중.고병설</v>
          </cell>
        </row>
        <row r="7">
          <cell r="A7">
            <v>5</v>
          </cell>
          <cell r="B7" t="str">
            <v>ROUTER</v>
          </cell>
          <cell r="C7" t="str">
            <v xml:space="preserve"> 1E/2S Dram 4M, Flash 4M</v>
          </cell>
          <cell r="D7">
            <v>1</v>
          </cell>
          <cell r="E7" t="str">
            <v>EA</v>
          </cell>
          <cell r="F7">
            <v>1350000</v>
          </cell>
          <cell r="G7" t="str">
            <v>중.고단위별</v>
          </cell>
        </row>
        <row r="8">
          <cell r="A8">
            <v>6</v>
          </cell>
          <cell r="B8" t="str">
            <v>CSU</v>
          </cell>
          <cell r="C8" t="str">
            <v xml:space="preserve"> 56K ~ T1, E1 지원</v>
          </cell>
          <cell r="D8">
            <v>1</v>
          </cell>
          <cell r="E8" t="str">
            <v>EA</v>
          </cell>
          <cell r="F8">
            <v>930000</v>
          </cell>
          <cell r="G8" t="str">
            <v>중.고병설</v>
          </cell>
        </row>
        <row r="9">
          <cell r="A9">
            <v>7</v>
          </cell>
          <cell r="B9" t="str">
            <v>DSU</v>
          </cell>
          <cell r="C9" t="str">
            <v xml:space="preserve"> 56K ~ 64K 지원</v>
          </cell>
          <cell r="D9">
            <v>1</v>
          </cell>
          <cell r="E9" t="str">
            <v>EA</v>
          </cell>
          <cell r="F9">
            <v>400000</v>
          </cell>
          <cell r="G9" t="str">
            <v>중.고단위별</v>
          </cell>
        </row>
        <row r="10">
          <cell r="A10">
            <v>8</v>
          </cell>
          <cell r="B10" t="str">
            <v>Lan Card</v>
          </cell>
          <cell r="C10" t="str">
            <v xml:space="preserve"> 10/100 PCI </v>
          </cell>
          <cell r="D10">
            <v>1</v>
          </cell>
          <cell r="E10" t="str">
            <v>EA</v>
          </cell>
          <cell r="F10">
            <v>44000</v>
          </cell>
        </row>
        <row r="11">
          <cell r="A11">
            <v>9</v>
          </cell>
          <cell r="B11" t="str">
            <v>UPS</v>
          </cell>
          <cell r="C11" t="str">
            <v xml:space="preserve"> 1KW</v>
          </cell>
          <cell r="D11">
            <v>1</v>
          </cell>
          <cell r="E11" t="str">
            <v>EA</v>
          </cell>
          <cell r="F11">
            <v>890000</v>
          </cell>
        </row>
        <row r="12">
          <cell r="A12">
            <v>10</v>
          </cell>
          <cell r="B12" t="str">
            <v>Proxy Server (S/W)</v>
          </cell>
          <cell r="C12" t="str">
            <v xml:space="preserve"> IP Generation</v>
          </cell>
          <cell r="D12">
            <v>1</v>
          </cell>
          <cell r="E12" t="str">
            <v>Copy</v>
          </cell>
          <cell r="F12">
            <v>770000</v>
          </cell>
        </row>
        <row r="13">
          <cell r="A13">
            <v>11</v>
          </cell>
          <cell r="B13" t="str">
            <v>Rack</v>
          </cell>
          <cell r="C13" t="str">
            <v xml:space="preserve"> 19"</v>
          </cell>
          <cell r="D13">
            <v>1</v>
          </cell>
          <cell r="E13" t="str">
            <v>EA</v>
          </cell>
          <cell r="F13">
            <v>600000</v>
          </cell>
        </row>
        <row r="14">
          <cell r="A14">
            <v>12</v>
          </cell>
          <cell r="B14" t="str">
            <v>Patch Pannel</v>
          </cell>
          <cell r="C14" t="str">
            <v xml:space="preserve"> 24 Node</v>
          </cell>
          <cell r="D14">
            <v>1</v>
          </cell>
          <cell r="E14" t="str">
            <v>EA</v>
          </cell>
          <cell r="F14">
            <v>110000</v>
          </cell>
        </row>
        <row r="15">
          <cell r="A15">
            <v>13</v>
          </cell>
          <cell r="B15" t="str">
            <v>UTP Cable</v>
          </cell>
          <cell r="C15" t="str">
            <v xml:space="preserve"> Cat'5</v>
          </cell>
          <cell r="D15">
            <v>1</v>
          </cell>
          <cell r="E15" t="str">
            <v>M</v>
          </cell>
          <cell r="F15">
            <v>250</v>
          </cell>
        </row>
        <row r="16">
          <cell r="A16">
            <v>14</v>
          </cell>
          <cell r="B16" t="str">
            <v>Outlet</v>
          </cell>
          <cell r="C16" t="str">
            <v xml:space="preserve"> 2 Port</v>
          </cell>
          <cell r="D16">
            <v>1</v>
          </cell>
          <cell r="E16" t="str">
            <v>EA</v>
          </cell>
          <cell r="F16">
            <v>9000</v>
          </cell>
        </row>
        <row r="17">
          <cell r="A17">
            <v>15</v>
          </cell>
          <cell r="B17" t="str">
            <v>배관, 잡자재</v>
          </cell>
          <cell r="C17" t="str">
            <v xml:space="preserve"> 1 Point( 2 Node)</v>
          </cell>
          <cell r="D17">
            <v>1</v>
          </cell>
          <cell r="E17" t="str">
            <v>식</v>
          </cell>
          <cell r="F17">
            <v>17000</v>
          </cell>
        </row>
        <row r="18">
          <cell r="A18">
            <v>16</v>
          </cell>
          <cell r="B18" t="str">
            <v>인건비</v>
          </cell>
          <cell r="C18" t="str">
            <v xml:space="preserve"> 1 Point( 2 Node)</v>
          </cell>
          <cell r="D18">
            <v>1</v>
          </cell>
          <cell r="E18" t="str">
            <v>식</v>
          </cell>
          <cell r="F18">
            <v>40000</v>
          </cell>
        </row>
        <row r="19">
          <cell r="A19">
            <v>17</v>
          </cell>
          <cell r="B19" t="str">
            <v>F/O Cable</v>
          </cell>
          <cell r="C19" t="str">
            <v xml:space="preserve"> 4 Core</v>
          </cell>
          <cell r="D19">
            <v>1</v>
          </cell>
          <cell r="E19" t="str">
            <v>M</v>
          </cell>
          <cell r="F19">
            <v>3520</v>
          </cell>
        </row>
        <row r="20">
          <cell r="A20">
            <v>18</v>
          </cell>
          <cell r="B20" t="str">
            <v>ST Connector</v>
          </cell>
          <cell r="C20" t="str">
            <v xml:space="preserve"> 4 Core</v>
          </cell>
          <cell r="D20">
            <v>1</v>
          </cell>
          <cell r="E20" t="str">
            <v>EA</v>
          </cell>
          <cell r="F20">
            <v>15000</v>
          </cell>
        </row>
        <row r="21">
          <cell r="A21">
            <v>19</v>
          </cell>
          <cell r="B21" t="str">
            <v>FDF</v>
          </cell>
          <cell r="C21" t="str">
            <v xml:space="preserve"> 4 Core</v>
          </cell>
          <cell r="D21">
            <v>1</v>
          </cell>
          <cell r="E21" t="str">
            <v>EA</v>
          </cell>
          <cell r="F21">
            <v>300000</v>
          </cell>
        </row>
        <row r="22">
          <cell r="A22">
            <v>20</v>
          </cell>
          <cell r="B22" t="str">
            <v>F/O Patch Cord</v>
          </cell>
          <cell r="C22" t="str">
            <v xml:space="preserve"> 4 Core</v>
          </cell>
          <cell r="D22">
            <v>1</v>
          </cell>
          <cell r="E22" t="str">
            <v>EA</v>
          </cell>
          <cell r="F22">
            <v>45000</v>
          </cell>
        </row>
        <row r="23">
          <cell r="A23">
            <v>21</v>
          </cell>
          <cell r="B23" t="str">
            <v>F/O Tranceiver</v>
          </cell>
          <cell r="C23" t="str">
            <v xml:space="preserve"> 4 Core</v>
          </cell>
          <cell r="D23">
            <v>1</v>
          </cell>
          <cell r="E23" t="str">
            <v>EA</v>
          </cell>
          <cell r="F23">
            <v>700000</v>
          </cell>
        </row>
        <row r="24">
          <cell r="A24">
            <v>22</v>
          </cell>
          <cell r="B24" t="str">
            <v>F/O 설치인건비</v>
          </cell>
          <cell r="C24" t="str">
            <v xml:space="preserve"> 4 Core</v>
          </cell>
          <cell r="D24">
            <v>1</v>
          </cell>
          <cell r="E24" t="str">
            <v>측</v>
          </cell>
          <cell r="F24">
            <v>200000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sobking@kaoni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6CA0-E2A0-4826-8F64-018617B062EC}">
  <sheetPr>
    <pageSetUpPr fitToPage="1"/>
  </sheetPr>
  <dimension ref="A1:R28"/>
  <sheetViews>
    <sheetView showGridLines="0" tabSelected="1" zoomScale="115" zoomScaleNormal="115" zoomScaleSheetLayoutView="100" workbookViewId="0">
      <selection activeCell="J2" sqref="J2"/>
    </sheetView>
  </sheetViews>
  <sheetFormatPr defaultColWidth="11.19921875" defaultRowHeight="15.6"/>
  <cols>
    <col min="1" max="1" width="3.796875" style="74" customWidth="1"/>
    <col min="2" max="2" width="5.796875" style="79" customWidth="1"/>
    <col min="3" max="3" width="8.796875" style="79" customWidth="1"/>
    <col min="4" max="4" width="26" style="74" customWidth="1"/>
    <col min="5" max="5" width="12.5" style="74" customWidth="1"/>
    <col min="6" max="6" width="7.296875" style="74" customWidth="1"/>
    <col min="7" max="7" width="13.296875" style="77" customWidth="1"/>
    <col min="8" max="8" width="12.296875" style="77" customWidth="1"/>
    <col min="9" max="9" width="15.5" style="77" customWidth="1"/>
    <col min="10" max="10" width="11.296875" style="74" bestFit="1" customWidth="1"/>
    <col min="11" max="11" width="11.19921875" style="74" customWidth="1"/>
    <col min="12" max="12" width="11.5" style="74" bestFit="1" customWidth="1"/>
    <col min="13" max="13" width="11.296875" style="74" bestFit="1" customWidth="1"/>
    <col min="14" max="18" width="11.19921875" style="78" customWidth="1"/>
    <col min="19" max="256" width="11.19921875" style="74"/>
    <col min="257" max="257" width="3.796875" style="74" customWidth="1"/>
    <col min="258" max="258" width="5.796875" style="74" customWidth="1"/>
    <col min="259" max="259" width="8.796875" style="74" customWidth="1"/>
    <col min="260" max="260" width="26" style="74" customWidth="1"/>
    <col min="261" max="261" width="12.5" style="74" customWidth="1"/>
    <col min="262" max="262" width="7.296875" style="74" customWidth="1"/>
    <col min="263" max="263" width="13.296875" style="74" customWidth="1"/>
    <col min="264" max="264" width="12.296875" style="74" customWidth="1"/>
    <col min="265" max="265" width="15.5" style="74" customWidth="1"/>
    <col min="266" max="266" width="11.296875" style="74" bestFit="1" customWidth="1"/>
    <col min="267" max="267" width="11.19921875" style="74"/>
    <col min="268" max="268" width="11.5" style="74" bestFit="1" customWidth="1"/>
    <col min="269" max="269" width="11.296875" style="74" bestFit="1" customWidth="1"/>
    <col min="270" max="512" width="11.19921875" style="74"/>
    <col min="513" max="513" width="3.796875" style="74" customWidth="1"/>
    <col min="514" max="514" width="5.796875" style="74" customWidth="1"/>
    <col min="515" max="515" width="8.796875" style="74" customWidth="1"/>
    <col min="516" max="516" width="26" style="74" customWidth="1"/>
    <col min="517" max="517" width="12.5" style="74" customWidth="1"/>
    <col min="518" max="518" width="7.296875" style="74" customWidth="1"/>
    <col min="519" max="519" width="13.296875" style="74" customWidth="1"/>
    <col min="520" max="520" width="12.296875" style="74" customWidth="1"/>
    <col min="521" max="521" width="15.5" style="74" customWidth="1"/>
    <col min="522" max="522" width="11.296875" style="74" bestFit="1" customWidth="1"/>
    <col min="523" max="523" width="11.19921875" style="74"/>
    <col min="524" max="524" width="11.5" style="74" bestFit="1" customWidth="1"/>
    <col min="525" max="525" width="11.296875" style="74" bestFit="1" customWidth="1"/>
    <col min="526" max="768" width="11.19921875" style="74"/>
    <col min="769" max="769" width="3.796875" style="74" customWidth="1"/>
    <col min="770" max="770" width="5.796875" style="74" customWidth="1"/>
    <col min="771" max="771" width="8.796875" style="74" customWidth="1"/>
    <col min="772" max="772" width="26" style="74" customWidth="1"/>
    <col min="773" max="773" width="12.5" style="74" customWidth="1"/>
    <col min="774" max="774" width="7.296875" style="74" customWidth="1"/>
    <col min="775" max="775" width="13.296875" style="74" customWidth="1"/>
    <col min="776" max="776" width="12.296875" style="74" customWidth="1"/>
    <col min="777" max="777" width="15.5" style="74" customWidth="1"/>
    <col min="778" max="778" width="11.296875" style="74" bestFit="1" customWidth="1"/>
    <col min="779" max="779" width="11.19921875" style="74"/>
    <col min="780" max="780" width="11.5" style="74" bestFit="1" customWidth="1"/>
    <col min="781" max="781" width="11.296875" style="74" bestFit="1" customWidth="1"/>
    <col min="782" max="1024" width="11.19921875" style="74"/>
    <col min="1025" max="1025" width="3.796875" style="74" customWidth="1"/>
    <col min="1026" max="1026" width="5.796875" style="74" customWidth="1"/>
    <col min="1027" max="1027" width="8.796875" style="74" customWidth="1"/>
    <col min="1028" max="1028" width="26" style="74" customWidth="1"/>
    <col min="1029" max="1029" width="12.5" style="74" customWidth="1"/>
    <col min="1030" max="1030" width="7.296875" style="74" customWidth="1"/>
    <col min="1031" max="1031" width="13.296875" style="74" customWidth="1"/>
    <col min="1032" max="1032" width="12.296875" style="74" customWidth="1"/>
    <col min="1033" max="1033" width="15.5" style="74" customWidth="1"/>
    <col min="1034" max="1034" width="11.296875" style="74" bestFit="1" customWidth="1"/>
    <col min="1035" max="1035" width="11.19921875" style="74"/>
    <col min="1036" max="1036" width="11.5" style="74" bestFit="1" customWidth="1"/>
    <col min="1037" max="1037" width="11.296875" style="74" bestFit="1" customWidth="1"/>
    <col min="1038" max="1280" width="11.19921875" style="74"/>
    <col min="1281" max="1281" width="3.796875" style="74" customWidth="1"/>
    <col min="1282" max="1282" width="5.796875" style="74" customWidth="1"/>
    <col min="1283" max="1283" width="8.796875" style="74" customWidth="1"/>
    <col min="1284" max="1284" width="26" style="74" customWidth="1"/>
    <col min="1285" max="1285" width="12.5" style="74" customWidth="1"/>
    <col min="1286" max="1286" width="7.296875" style="74" customWidth="1"/>
    <col min="1287" max="1287" width="13.296875" style="74" customWidth="1"/>
    <col min="1288" max="1288" width="12.296875" style="74" customWidth="1"/>
    <col min="1289" max="1289" width="15.5" style="74" customWidth="1"/>
    <col min="1290" max="1290" width="11.296875" style="74" bestFit="1" customWidth="1"/>
    <col min="1291" max="1291" width="11.19921875" style="74"/>
    <col min="1292" max="1292" width="11.5" style="74" bestFit="1" customWidth="1"/>
    <col min="1293" max="1293" width="11.296875" style="74" bestFit="1" customWidth="1"/>
    <col min="1294" max="1536" width="11.19921875" style="74"/>
    <col min="1537" max="1537" width="3.796875" style="74" customWidth="1"/>
    <col min="1538" max="1538" width="5.796875" style="74" customWidth="1"/>
    <col min="1539" max="1539" width="8.796875" style="74" customWidth="1"/>
    <col min="1540" max="1540" width="26" style="74" customWidth="1"/>
    <col min="1541" max="1541" width="12.5" style="74" customWidth="1"/>
    <col min="1542" max="1542" width="7.296875" style="74" customWidth="1"/>
    <col min="1543" max="1543" width="13.296875" style="74" customWidth="1"/>
    <col min="1544" max="1544" width="12.296875" style="74" customWidth="1"/>
    <col min="1545" max="1545" width="15.5" style="74" customWidth="1"/>
    <col min="1546" max="1546" width="11.296875" style="74" bestFit="1" customWidth="1"/>
    <col min="1547" max="1547" width="11.19921875" style="74"/>
    <col min="1548" max="1548" width="11.5" style="74" bestFit="1" customWidth="1"/>
    <col min="1549" max="1549" width="11.296875" style="74" bestFit="1" customWidth="1"/>
    <col min="1550" max="1792" width="11.19921875" style="74"/>
    <col min="1793" max="1793" width="3.796875" style="74" customWidth="1"/>
    <col min="1794" max="1794" width="5.796875" style="74" customWidth="1"/>
    <col min="1795" max="1795" width="8.796875" style="74" customWidth="1"/>
    <col min="1796" max="1796" width="26" style="74" customWidth="1"/>
    <col min="1797" max="1797" width="12.5" style="74" customWidth="1"/>
    <col min="1798" max="1798" width="7.296875" style="74" customWidth="1"/>
    <col min="1799" max="1799" width="13.296875" style="74" customWidth="1"/>
    <col min="1800" max="1800" width="12.296875" style="74" customWidth="1"/>
    <col min="1801" max="1801" width="15.5" style="74" customWidth="1"/>
    <col min="1802" max="1802" width="11.296875" style="74" bestFit="1" customWidth="1"/>
    <col min="1803" max="1803" width="11.19921875" style="74"/>
    <col min="1804" max="1804" width="11.5" style="74" bestFit="1" customWidth="1"/>
    <col min="1805" max="1805" width="11.296875" style="74" bestFit="1" customWidth="1"/>
    <col min="1806" max="2048" width="11.19921875" style="74"/>
    <col min="2049" max="2049" width="3.796875" style="74" customWidth="1"/>
    <col min="2050" max="2050" width="5.796875" style="74" customWidth="1"/>
    <col min="2051" max="2051" width="8.796875" style="74" customWidth="1"/>
    <col min="2052" max="2052" width="26" style="74" customWidth="1"/>
    <col min="2053" max="2053" width="12.5" style="74" customWidth="1"/>
    <col min="2054" max="2054" width="7.296875" style="74" customWidth="1"/>
    <col min="2055" max="2055" width="13.296875" style="74" customWidth="1"/>
    <col min="2056" max="2056" width="12.296875" style="74" customWidth="1"/>
    <col min="2057" max="2057" width="15.5" style="74" customWidth="1"/>
    <col min="2058" max="2058" width="11.296875" style="74" bestFit="1" customWidth="1"/>
    <col min="2059" max="2059" width="11.19921875" style="74"/>
    <col min="2060" max="2060" width="11.5" style="74" bestFit="1" customWidth="1"/>
    <col min="2061" max="2061" width="11.296875" style="74" bestFit="1" customWidth="1"/>
    <col min="2062" max="2304" width="11.19921875" style="74"/>
    <col min="2305" max="2305" width="3.796875" style="74" customWidth="1"/>
    <col min="2306" max="2306" width="5.796875" style="74" customWidth="1"/>
    <col min="2307" max="2307" width="8.796875" style="74" customWidth="1"/>
    <col min="2308" max="2308" width="26" style="74" customWidth="1"/>
    <col min="2309" max="2309" width="12.5" style="74" customWidth="1"/>
    <col min="2310" max="2310" width="7.296875" style="74" customWidth="1"/>
    <col min="2311" max="2311" width="13.296875" style="74" customWidth="1"/>
    <col min="2312" max="2312" width="12.296875" style="74" customWidth="1"/>
    <col min="2313" max="2313" width="15.5" style="74" customWidth="1"/>
    <col min="2314" max="2314" width="11.296875" style="74" bestFit="1" customWidth="1"/>
    <col min="2315" max="2315" width="11.19921875" style="74"/>
    <col min="2316" max="2316" width="11.5" style="74" bestFit="1" customWidth="1"/>
    <col min="2317" max="2317" width="11.296875" style="74" bestFit="1" customWidth="1"/>
    <col min="2318" max="2560" width="11.19921875" style="74"/>
    <col min="2561" max="2561" width="3.796875" style="74" customWidth="1"/>
    <col min="2562" max="2562" width="5.796875" style="74" customWidth="1"/>
    <col min="2563" max="2563" width="8.796875" style="74" customWidth="1"/>
    <col min="2564" max="2564" width="26" style="74" customWidth="1"/>
    <col min="2565" max="2565" width="12.5" style="74" customWidth="1"/>
    <col min="2566" max="2566" width="7.296875" style="74" customWidth="1"/>
    <col min="2567" max="2567" width="13.296875" style="74" customWidth="1"/>
    <col min="2568" max="2568" width="12.296875" style="74" customWidth="1"/>
    <col min="2569" max="2569" width="15.5" style="74" customWidth="1"/>
    <col min="2570" max="2570" width="11.296875" style="74" bestFit="1" customWidth="1"/>
    <col min="2571" max="2571" width="11.19921875" style="74"/>
    <col min="2572" max="2572" width="11.5" style="74" bestFit="1" customWidth="1"/>
    <col min="2573" max="2573" width="11.296875" style="74" bestFit="1" customWidth="1"/>
    <col min="2574" max="2816" width="11.19921875" style="74"/>
    <col min="2817" max="2817" width="3.796875" style="74" customWidth="1"/>
    <col min="2818" max="2818" width="5.796875" style="74" customWidth="1"/>
    <col min="2819" max="2819" width="8.796875" style="74" customWidth="1"/>
    <col min="2820" max="2820" width="26" style="74" customWidth="1"/>
    <col min="2821" max="2821" width="12.5" style="74" customWidth="1"/>
    <col min="2822" max="2822" width="7.296875" style="74" customWidth="1"/>
    <col min="2823" max="2823" width="13.296875" style="74" customWidth="1"/>
    <col min="2824" max="2824" width="12.296875" style="74" customWidth="1"/>
    <col min="2825" max="2825" width="15.5" style="74" customWidth="1"/>
    <col min="2826" max="2826" width="11.296875" style="74" bestFit="1" customWidth="1"/>
    <col min="2827" max="2827" width="11.19921875" style="74"/>
    <col min="2828" max="2828" width="11.5" style="74" bestFit="1" customWidth="1"/>
    <col min="2829" max="2829" width="11.296875" style="74" bestFit="1" customWidth="1"/>
    <col min="2830" max="3072" width="11.19921875" style="74"/>
    <col min="3073" max="3073" width="3.796875" style="74" customWidth="1"/>
    <col min="3074" max="3074" width="5.796875" style="74" customWidth="1"/>
    <col min="3075" max="3075" width="8.796875" style="74" customWidth="1"/>
    <col min="3076" max="3076" width="26" style="74" customWidth="1"/>
    <col min="3077" max="3077" width="12.5" style="74" customWidth="1"/>
    <col min="3078" max="3078" width="7.296875" style="74" customWidth="1"/>
    <col min="3079" max="3079" width="13.296875" style="74" customWidth="1"/>
    <col min="3080" max="3080" width="12.296875" style="74" customWidth="1"/>
    <col min="3081" max="3081" width="15.5" style="74" customWidth="1"/>
    <col min="3082" max="3082" width="11.296875" style="74" bestFit="1" customWidth="1"/>
    <col min="3083" max="3083" width="11.19921875" style="74"/>
    <col min="3084" max="3084" width="11.5" style="74" bestFit="1" customWidth="1"/>
    <col min="3085" max="3085" width="11.296875" style="74" bestFit="1" customWidth="1"/>
    <col min="3086" max="3328" width="11.19921875" style="74"/>
    <col min="3329" max="3329" width="3.796875" style="74" customWidth="1"/>
    <col min="3330" max="3330" width="5.796875" style="74" customWidth="1"/>
    <col min="3331" max="3331" width="8.796875" style="74" customWidth="1"/>
    <col min="3332" max="3332" width="26" style="74" customWidth="1"/>
    <col min="3333" max="3333" width="12.5" style="74" customWidth="1"/>
    <col min="3334" max="3334" width="7.296875" style="74" customWidth="1"/>
    <col min="3335" max="3335" width="13.296875" style="74" customWidth="1"/>
    <col min="3336" max="3336" width="12.296875" style="74" customWidth="1"/>
    <col min="3337" max="3337" width="15.5" style="74" customWidth="1"/>
    <col min="3338" max="3338" width="11.296875" style="74" bestFit="1" customWidth="1"/>
    <col min="3339" max="3339" width="11.19921875" style="74"/>
    <col min="3340" max="3340" width="11.5" style="74" bestFit="1" customWidth="1"/>
    <col min="3341" max="3341" width="11.296875" style="74" bestFit="1" customWidth="1"/>
    <col min="3342" max="3584" width="11.19921875" style="74"/>
    <col min="3585" max="3585" width="3.796875" style="74" customWidth="1"/>
    <col min="3586" max="3586" width="5.796875" style="74" customWidth="1"/>
    <col min="3587" max="3587" width="8.796875" style="74" customWidth="1"/>
    <col min="3588" max="3588" width="26" style="74" customWidth="1"/>
    <col min="3589" max="3589" width="12.5" style="74" customWidth="1"/>
    <col min="3590" max="3590" width="7.296875" style="74" customWidth="1"/>
    <col min="3591" max="3591" width="13.296875" style="74" customWidth="1"/>
    <col min="3592" max="3592" width="12.296875" style="74" customWidth="1"/>
    <col min="3593" max="3593" width="15.5" style="74" customWidth="1"/>
    <col min="3594" max="3594" width="11.296875" style="74" bestFit="1" customWidth="1"/>
    <col min="3595" max="3595" width="11.19921875" style="74"/>
    <col min="3596" max="3596" width="11.5" style="74" bestFit="1" customWidth="1"/>
    <col min="3597" max="3597" width="11.296875" style="74" bestFit="1" customWidth="1"/>
    <col min="3598" max="3840" width="11.19921875" style="74"/>
    <col min="3841" max="3841" width="3.796875" style="74" customWidth="1"/>
    <col min="3842" max="3842" width="5.796875" style="74" customWidth="1"/>
    <col min="3843" max="3843" width="8.796875" style="74" customWidth="1"/>
    <col min="3844" max="3844" width="26" style="74" customWidth="1"/>
    <col min="3845" max="3845" width="12.5" style="74" customWidth="1"/>
    <col min="3846" max="3846" width="7.296875" style="74" customWidth="1"/>
    <col min="3847" max="3847" width="13.296875" style="74" customWidth="1"/>
    <col min="3848" max="3848" width="12.296875" style="74" customWidth="1"/>
    <col min="3849" max="3849" width="15.5" style="74" customWidth="1"/>
    <col min="3850" max="3850" width="11.296875" style="74" bestFit="1" customWidth="1"/>
    <col min="3851" max="3851" width="11.19921875" style="74"/>
    <col min="3852" max="3852" width="11.5" style="74" bestFit="1" customWidth="1"/>
    <col min="3853" max="3853" width="11.296875" style="74" bestFit="1" customWidth="1"/>
    <col min="3854" max="4096" width="11.19921875" style="74"/>
    <col min="4097" max="4097" width="3.796875" style="74" customWidth="1"/>
    <col min="4098" max="4098" width="5.796875" style="74" customWidth="1"/>
    <col min="4099" max="4099" width="8.796875" style="74" customWidth="1"/>
    <col min="4100" max="4100" width="26" style="74" customWidth="1"/>
    <col min="4101" max="4101" width="12.5" style="74" customWidth="1"/>
    <col min="4102" max="4102" width="7.296875" style="74" customWidth="1"/>
    <col min="4103" max="4103" width="13.296875" style="74" customWidth="1"/>
    <col min="4104" max="4104" width="12.296875" style="74" customWidth="1"/>
    <col min="4105" max="4105" width="15.5" style="74" customWidth="1"/>
    <col min="4106" max="4106" width="11.296875" style="74" bestFit="1" customWidth="1"/>
    <col min="4107" max="4107" width="11.19921875" style="74"/>
    <col min="4108" max="4108" width="11.5" style="74" bestFit="1" customWidth="1"/>
    <col min="4109" max="4109" width="11.296875" style="74" bestFit="1" customWidth="1"/>
    <col min="4110" max="4352" width="11.19921875" style="74"/>
    <col min="4353" max="4353" width="3.796875" style="74" customWidth="1"/>
    <col min="4354" max="4354" width="5.796875" style="74" customWidth="1"/>
    <col min="4355" max="4355" width="8.796875" style="74" customWidth="1"/>
    <col min="4356" max="4356" width="26" style="74" customWidth="1"/>
    <col min="4357" max="4357" width="12.5" style="74" customWidth="1"/>
    <col min="4358" max="4358" width="7.296875" style="74" customWidth="1"/>
    <col min="4359" max="4359" width="13.296875" style="74" customWidth="1"/>
    <col min="4360" max="4360" width="12.296875" style="74" customWidth="1"/>
    <col min="4361" max="4361" width="15.5" style="74" customWidth="1"/>
    <col min="4362" max="4362" width="11.296875" style="74" bestFit="1" customWidth="1"/>
    <col min="4363" max="4363" width="11.19921875" style="74"/>
    <col min="4364" max="4364" width="11.5" style="74" bestFit="1" customWidth="1"/>
    <col min="4365" max="4365" width="11.296875" style="74" bestFit="1" customWidth="1"/>
    <col min="4366" max="4608" width="11.19921875" style="74"/>
    <col min="4609" max="4609" width="3.796875" style="74" customWidth="1"/>
    <col min="4610" max="4610" width="5.796875" style="74" customWidth="1"/>
    <col min="4611" max="4611" width="8.796875" style="74" customWidth="1"/>
    <col min="4612" max="4612" width="26" style="74" customWidth="1"/>
    <col min="4613" max="4613" width="12.5" style="74" customWidth="1"/>
    <col min="4614" max="4614" width="7.296875" style="74" customWidth="1"/>
    <col min="4615" max="4615" width="13.296875" style="74" customWidth="1"/>
    <col min="4616" max="4616" width="12.296875" style="74" customWidth="1"/>
    <col min="4617" max="4617" width="15.5" style="74" customWidth="1"/>
    <col min="4618" max="4618" width="11.296875" style="74" bestFit="1" customWidth="1"/>
    <col min="4619" max="4619" width="11.19921875" style="74"/>
    <col min="4620" max="4620" width="11.5" style="74" bestFit="1" customWidth="1"/>
    <col min="4621" max="4621" width="11.296875" style="74" bestFit="1" customWidth="1"/>
    <col min="4622" max="4864" width="11.19921875" style="74"/>
    <col min="4865" max="4865" width="3.796875" style="74" customWidth="1"/>
    <col min="4866" max="4866" width="5.796875" style="74" customWidth="1"/>
    <col min="4867" max="4867" width="8.796875" style="74" customWidth="1"/>
    <col min="4868" max="4868" width="26" style="74" customWidth="1"/>
    <col min="4869" max="4869" width="12.5" style="74" customWidth="1"/>
    <col min="4870" max="4870" width="7.296875" style="74" customWidth="1"/>
    <col min="4871" max="4871" width="13.296875" style="74" customWidth="1"/>
    <col min="4872" max="4872" width="12.296875" style="74" customWidth="1"/>
    <col min="4873" max="4873" width="15.5" style="74" customWidth="1"/>
    <col min="4874" max="4874" width="11.296875" style="74" bestFit="1" customWidth="1"/>
    <col min="4875" max="4875" width="11.19921875" style="74"/>
    <col min="4876" max="4876" width="11.5" style="74" bestFit="1" customWidth="1"/>
    <col min="4877" max="4877" width="11.296875" style="74" bestFit="1" customWidth="1"/>
    <col min="4878" max="5120" width="11.19921875" style="74"/>
    <col min="5121" max="5121" width="3.796875" style="74" customWidth="1"/>
    <col min="5122" max="5122" width="5.796875" style="74" customWidth="1"/>
    <col min="5123" max="5123" width="8.796875" style="74" customWidth="1"/>
    <col min="5124" max="5124" width="26" style="74" customWidth="1"/>
    <col min="5125" max="5125" width="12.5" style="74" customWidth="1"/>
    <col min="5126" max="5126" width="7.296875" style="74" customWidth="1"/>
    <col min="5127" max="5127" width="13.296875" style="74" customWidth="1"/>
    <col min="5128" max="5128" width="12.296875" style="74" customWidth="1"/>
    <col min="5129" max="5129" width="15.5" style="74" customWidth="1"/>
    <col min="5130" max="5130" width="11.296875" style="74" bestFit="1" customWidth="1"/>
    <col min="5131" max="5131" width="11.19921875" style="74"/>
    <col min="5132" max="5132" width="11.5" style="74" bestFit="1" customWidth="1"/>
    <col min="5133" max="5133" width="11.296875" style="74" bestFit="1" customWidth="1"/>
    <col min="5134" max="5376" width="11.19921875" style="74"/>
    <col min="5377" max="5377" width="3.796875" style="74" customWidth="1"/>
    <col min="5378" max="5378" width="5.796875" style="74" customWidth="1"/>
    <col min="5379" max="5379" width="8.796875" style="74" customWidth="1"/>
    <col min="5380" max="5380" width="26" style="74" customWidth="1"/>
    <col min="5381" max="5381" width="12.5" style="74" customWidth="1"/>
    <col min="5382" max="5382" width="7.296875" style="74" customWidth="1"/>
    <col min="5383" max="5383" width="13.296875" style="74" customWidth="1"/>
    <col min="5384" max="5384" width="12.296875" style="74" customWidth="1"/>
    <col min="5385" max="5385" width="15.5" style="74" customWidth="1"/>
    <col min="5386" max="5386" width="11.296875" style="74" bestFit="1" customWidth="1"/>
    <col min="5387" max="5387" width="11.19921875" style="74"/>
    <col min="5388" max="5388" width="11.5" style="74" bestFit="1" customWidth="1"/>
    <col min="5389" max="5389" width="11.296875" style="74" bestFit="1" customWidth="1"/>
    <col min="5390" max="5632" width="11.19921875" style="74"/>
    <col min="5633" max="5633" width="3.796875" style="74" customWidth="1"/>
    <col min="5634" max="5634" width="5.796875" style="74" customWidth="1"/>
    <col min="5635" max="5635" width="8.796875" style="74" customWidth="1"/>
    <col min="5636" max="5636" width="26" style="74" customWidth="1"/>
    <col min="5637" max="5637" width="12.5" style="74" customWidth="1"/>
    <col min="5638" max="5638" width="7.296875" style="74" customWidth="1"/>
    <col min="5639" max="5639" width="13.296875" style="74" customWidth="1"/>
    <col min="5640" max="5640" width="12.296875" style="74" customWidth="1"/>
    <col min="5641" max="5641" width="15.5" style="74" customWidth="1"/>
    <col min="5642" max="5642" width="11.296875" style="74" bestFit="1" customWidth="1"/>
    <col min="5643" max="5643" width="11.19921875" style="74"/>
    <col min="5644" max="5644" width="11.5" style="74" bestFit="1" customWidth="1"/>
    <col min="5645" max="5645" width="11.296875" style="74" bestFit="1" customWidth="1"/>
    <col min="5646" max="5888" width="11.19921875" style="74"/>
    <col min="5889" max="5889" width="3.796875" style="74" customWidth="1"/>
    <col min="5890" max="5890" width="5.796875" style="74" customWidth="1"/>
    <col min="5891" max="5891" width="8.796875" style="74" customWidth="1"/>
    <col min="5892" max="5892" width="26" style="74" customWidth="1"/>
    <col min="5893" max="5893" width="12.5" style="74" customWidth="1"/>
    <col min="5894" max="5894" width="7.296875" style="74" customWidth="1"/>
    <col min="5895" max="5895" width="13.296875" style="74" customWidth="1"/>
    <col min="5896" max="5896" width="12.296875" style="74" customWidth="1"/>
    <col min="5897" max="5897" width="15.5" style="74" customWidth="1"/>
    <col min="5898" max="5898" width="11.296875" style="74" bestFit="1" customWidth="1"/>
    <col min="5899" max="5899" width="11.19921875" style="74"/>
    <col min="5900" max="5900" width="11.5" style="74" bestFit="1" customWidth="1"/>
    <col min="5901" max="5901" width="11.296875" style="74" bestFit="1" customWidth="1"/>
    <col min="5902" max="6144" width="11.19921875" style="74"/>
    <col min="6145" max="6145" width="3.796875" style="74" customWidth="1"/>
    <col min="6146" max="6146" width="5.796875" style="74" customWidth="1"/>
    <col min="6147" max="6147" width="8.796875" style="74" customWidth="1"/>
    <col min="6148" max="6148" width="26" style="74" customWidth="1"/>
    <col min="6149" max="6149" width="12.5" style="74" customWidth="1"/>
    <col min="6150" max="6150" width="7.296875" style="74" customWidth="1"/>
    <col min="6151" max="6151" width="13.296875" style="74" customWidth="1"/>
    <col min="6152" max="6152" width="12.296875" style="74" customWidth="1"/>
    <col min="6153" max="6153" width="15.5" style="74" customWidth="1"/>
    <col min="6154" max="6154" width="11.296875" style="74" bestFit="1" customWidth="1"/>
    <col min="6155" max="6155" width="11.19921875" style="74"/>
    <col min="6156" max="6156" width="11.5" style="74" bestFit="1" customWidth="1"/>
    <col min="6157" max="6157" width="11.296875" style="74" bestFit="1" customWidth="1"/>
    <col min="6158" max="6400" width="11.19921875" style="74"/>
    <col min="6401" max="6401" width="3.796875" style="74" customWidth="1"/>
    <col min="6402" max="6402" width="5.796875" style="74" customWidth="1"/>
    <col min="6403" max="6403" width="8.796875" style="74" customWidth="1"/>
    <col min="6404" max="6404" width="26" style="74" customWidth="1"/>
    <col min="6405" max="6405" width="12.5" style="74" customWidth="1"/>
    <col min="6406" max="6406" width="7.296875" style="74" customWidth="1"/>
    <col min="6407" max="6407" width="13.296875" style="74" customWidth="1"/>
    <col min="6408" max="6408" width="12.296875" style="74" customWidth="1"/>
    <col min="6409" max="6409" width="15.5" style="74" customWidth="1"/>
    <col min="6410" max="6410" width="11.296875" style="74" bestFit="1" customWidth="1"/>
    <col min="6411" max="6411" width="11.19921875" style="74"/>
    <col min="6412" max="6412" width="11.5" style="74" bestFit="1" customWidth="1"/>
    <col min="6413" max="6413" width="11.296875" style="74" bestFit="1" customWidth="1"/>
    <col min="6414" max="6656" width="11.19921875" style="74"/>
    <col min="6657" max="6657" width="3.796875" style="74" customWidth="1"/>
    <col min="6658" max="6658" width="5.796875" style="74" customWidth="1"/>
    <col min="6659" max="6659" width="8.796875" style="74" customWidth="1"/>
    <col min="6660" max="6660" width="26" style="74" customWidth="1"/>
    <col min="6661" max="6661" width="12.5" style="74" customWidth="1"/>
    <col min="6662" max="6662" width="7.296875" style="74" customWidth="1"/>
    <col min="6663" max="6663" width="13.296875" style="74" customWidth="1"/>
    <col min="6664" max="6664" width="12.296875" style="74" customWidth="1"/>
    <col min="6665" max="6665" width="15.5" style="74" customWidth="1"/>
    <col min="6666" max="6666" width="11.296875" style="74" bestFit="1" customWidth="1"/>
    <col min="6667" max="6667" width="11.19921875" style="74"/>
    <col min="6668" max="6668" width="11.5" style="74" bestFit="1" customWidth="1"/>
    <col min="6669" max="6669" width="11.296875" style="74" bestFit="1" customWidth="1"/>
    <col min="6670" max="6912" width="11.19921875" style="74"/>
    <col min="6913" max="6913" width="3.796875" style="74" customWidth="1"/>
    <col min="6914" max="6914" width="5.796875" style="74" customWidth="1"/>
    <col min="6915" max="6915" width="8.796875" style="74" customWidth="1"/>
    <col min="6916" max="6916" width="26" style="74" customWidth="1"/>
    <col min="6917" max="6917" width="12.5" style="74" customWidth="1"/>
    <col min="6918" max="6918" width="7.296875" style="74" customWidth="1"/>
    <col min="6919" max="6919" width="13.296875" style="74" customWidth="1"/>
    <col min="6920" max="6920" width="12.296875" style="74" customWidth="1"/>
    <col min="6921" max="6921" width="15.5" style="74" customWidth="1"/>
    <col min="6922" max="6922" width="11.296875" style="74" bestFit="1" customWidth="1"/>
    <col min="6923" max="6923" width="11.19921875" style="74"/>
    <col min="6924" max="6924" width="11.5" style="74" bestFit="1" customWidth="1"/>
    <col min="6925" max="6925" width="11.296875" style="74" bestFit="1" customWidth="1"/>
    <col min="6926" max="7168" width="11.19921875" style="74"/>
    <col min="7169" max="7169" width="3.796875" style="74" customWidth="1"/>
    <col min="7170" max="7170" width="5.796875" style="74" customWidth="1"/>
    <col min="7171" max="7171" width="8.796875" style="74" customWidth="1"/>
    <col min="7172" max="7172" width="26" style="74" customWidth="1"/>
    <col min="7173" max="7173" width="12.5" style="74" customWidth="1"/>
    <col min="7174" max="7174" width="7.296875" style="74" customWidth="1"/>
    <col min="7175" max="7175" width="13.296875" style="74" customWidth="1"/>
    <col min="7176" max="7176" width="12.296875" style="74" customWidth="1"/>
    <col min="7177" max="7177" width="15.5" style="74" customWidth="1"/>
    <col min="7178" max="7178" width="11.296875" style="74" bestFit="1" customWidth="1"/>
    <col min="7179" max="7179" width="11.19921875" style="74"/>
    <col min="7180" max="7180" width="11.5" style="74" bestFit="1" customWidth="1"/>
    <col min="7181" max="7181" width="11.296875" style="74" bestFit="1" customWidth="1"/>
    <col min="7182" max="7424" width="11.19921875" style="74"/>
    <col min="7425" max="7425" width="3.796875" style="74" customWidth="1"/>
    <col min="7426" max="7426" width="5.796875" style="74" customWidth="1"/>
    <col min="7427" max="7427" width="8.796875" style="74" customWidth="1"/>
    <col min="7428" max="7428" width="26" style="74" customWidth="1"/>
    <col min="7429" max="7429" width="12.5" style="74" customWidth="1"/>
    <col min="7430" max="7430" width="7.296875" style="74" customWidth="1"/>
    <col min="7431" max="7431" width="13.296875" style="74" customWidth="1"/>
    <col min="7432" max="7432" width="12.296875" style="74" customWidth="1"/>
    <col min="7433" max="7433" width="15.5" style="74" customWidth="1"/>
    <col min="7434" max="7434" width="11.296875" style="74" bestFit="1" customWidth="1"/>
    <col min="7435" max="7435" width="11.19921875" style="74"/>
    <col min="7436" max="7436" width="11.5" style="74" bestFit="1" customWidth="1"/>
    <col min="7437" max="7437" width="11.296875" style="74" bestFit="1" customWidth="1"/>
    <col min="7438" max="7680" width="11.19921875" style="74"/>
    <col min="7681" max="7681" width="3.796875" style="74" customWidth="1"/>
    <col min="7682" max="7682" width="5.796875" style="74" customWidth="1"/>
    <col min="7683" max="7683" width="8.796875" style="74" customWidth="1"/>
    <col min="7684" max="7684" width="26" style="74" customWidth="1"/>
    <col min="7685" max="7685" width="12.5" style="74" customWidth="1"/>
    <col min="7686" max="7686" width="7.296875" style="74" customWidth="1"/>
    <col min="7687" max="7687" width="13.296875" style="74" customWidth="1"/>
    <col min="7688" max="7688" width="12.296875" style="74" customWidth="1"/>
    <col min="7689" max="7689" width="15.5" style="74" customWidth="1"/>
    <col min="7690" max="7690" width="11.296875" style="74" bestFit="1" customWidth="1"/>
    <col min="7691" max="7691" width="11.19921875" style="74"/>
    <col min="7692" max="7692" width="11.5" style="74" bestFit="1" customWidth="1"/>
    <col min="7693" max="7693" width="11.296875" style="74" bestFit="1" customWidth="1"/>
    <col min="7694" max="7936" width="11.19921875" style="74"/>
    <col min="7937" max="7937" width="3.796875" style="74" customWidth="1"/>
    <col min="7938" max="7938" width="5.796875" style="74" customWidth="1"/>
    <col min="7939" max="7939" width="8.796875" style="74" customWidth="1"/>
    <col min="7940" max="7940" width="26" style="74" customWidth="1"/>
    <col min="7941" max="7941" width="12.5" style="74" customWidth="1"/>
    <col min="7942" max="7942" width="7.296875" style="74" customWidth="1"/>
    <col min="7943" max="7943" width="13.296875" style="74" customWidth="1"/>
    <col min="7944" max="7944" width="12.296875" style="74" customWidth="1"/>
    <col min="7945" max="7945" width="15.5" style="74" customWidth="1"/>
    <col min="7946" max="7946" width="11.296875" style="74" bestFit="1" customWidth="1"/>
    <col min="7947" max="7947" width="11.19921875" style="74"/>
    <col min="7948" max="7948" width="11.5" style="74" bestFit="1" customWidth="1"/>
    <col min="7949" max="7949" width="11.296875" style="74" bestFit="1" customWidth="1"/>
    <col min="7950" max="8192" width="11.19921875" style="74"/>
    <col min="8193" max="8193" width="3.796875" style="74" customWidth="1"/>
    <col min="8194" max="8194" width="5.796875" style="74" customWidth="1"/>
    <col min="8195" max="8195" width="8.796875" style="74" customWidth="1"/>
    <col min="8196" max="8196" width="26" style="74" customWidth="1"/>
    <col min="8197" max="8197" width="12.5" style="74" customWidth="1"/>
    <col min="8198" max="8198" width="7.296875" style="74" customWidth="1"/>
    <col min="8199" max="8199" width="13.296875" style="74" customWidth="1"/>
    <col min="8200" max="8200" width="12.296875" style="74" customWidth="1"/>
    <col min="8201" max="8201" width="15.5" style="74" customWidth="1"/>
    <col min="8202" max="8202" width="11.296875" style="74" bestFit="1" customWidth="1"/>
    <col min="8203" max="8203" width="11.19921875" style="74"/>
    <col min="8204" max="8204" width="11.5" style="74" bestFit="1" customWidth="1"/>
    <col min="8205" max="8205" width="11.296875" style="74" bestFit="1" customWidth="1"/>
    <col min="8206" max="8448" width="11.19921875" style="74"/>
    <col min="8449" max="8449" width="3.796875" style="74" customWidth="1"/>
    <col min="8450" max="8450" width="5.796875" style="74" customWidth="1"/>
    <col min="8451" max="8451" width="8.796875" style="74" customWidth="1"/>
    <col min="8452" max="8452" width="26" style="74" customWidth="1"/>
    <col min="8453" max="8453" width="12.5" style="74" customWidth="1"/>
    <col min="8454" max="8454" width="7.296875" style="74" customWidth="1"/>
    <col min="8455" max="8455" width="13.296875" style="74" customWidth="1"/>
    <col min="8456" max="8456" width="12.296875" style="74" customWidth="1"/>
    <col min="8457" max="8457" width="15.5" style="74" customWidth="1"/>
    <col min="8458" max="8458" width="11.296875" style="74" bestFit="1" customWidth="1"/>
    <col min="8459" max="8459" width="11.19921875" style="74"/>
    <col min="8460" max="8460" width="11.5" style="74" bestFit="1" customWidth="1"/>
    <col min="8461" max="8461" width="11.296875" style="74" bestFit="1" customWidth="1"/>
    <col min="8462" max="8704" width="11.19921875" style="74"/>
    <col min="8705" max="8705" width="3.796875" style="74" customWidth="1"/>
    <col min="8706" max="8706" width="5.796875" style="74" customWidth="1"/>
    <col min="8707" max="8707" width="8.796875" style="74" customWidth="1"/>
    <col min="8708" max="8708" width="26" style="74" customWidth="1"/>
    <col min="8709" max="8709" width="12.5" style="74" customWidth="1"/>
    <col min="8710" max="8710" width="7.296875" style="74" customWidth="1"/>
    <col min="8711" max="8711" width="13.296875" style="74" customWidth="1"/>
    <col min="8712" max="8712" width="12.296875" style="74" customWidth="1"/>
    <col min="8713" max="8713" width="15.5" style="74" customWidth="1"/>
    <col min="8714" max="8714" width="11.296875" style="74" bestFit="1" customWidth="1"/>
    <col min="8715" max="8715" width="11.19921875" style="74"/>
    <col min="8716" max="8716" width="11.5" style="74" bestFit="1" customWidth="1"/>
    <col min="8717" max="8717" width="11.296875" style="74" bestFit="1" customWidth="1"/>
    <col min="8718" max="8960" width="11.19921875" style="74"/>
    <col min="8961" max="8961" width="3.796875" style="74" customWidth="1"/>
    <col min="8962" max="8962" width="5.796875" style="74" customWidth="1"/>
    <col min="8963" max="8963" width="8.796875" style="74" customWidth="1"/>
    <col min="8964" max="8964" width="26" style="74" customWidth="1"/>
    <col min="8965" max="8965" width="12.5" style="74" customWidth="1"/>
    <col min="8966" max="8966" width="7.296875" style="74" customWidth="1"/>
    <col min="8967" max="8967" width="13.296875" style="74" customWidth="1"/>
    <col min="8968" max="8968" width="12.296875" style="74" customWidth="1"/>
    <col min="8969" max="8969" width="15.5" style="74" customWidth="1"/>
    <col min="8970" max="8970" width="11.296875" style="74" bestFit="1" customWidth="1"/>
    <col min="8971" max="8971" width="11.19921875" style="74"/>
    <col min="8972" max="8972" width="11.5" style="74" bestFit="1" customWidth="1"/>
    <col min="8973" max="8973" width="11.296875" style="74" bestFit="1" customWidth="1"/>
    <col min="8974" max="9216" width="11.19921875" style="74"/>
    <col min="9217" max="9217" width="3.796875" style="74" customWidth="1"/>
    <col min="9218" max="9218" width="5.796875" style="74" customWidth="1"/>
    <col min="9219" max="9219" width="8.796875" style="74" customWidth="1"/>
    <col min="9220" max="9220" width="26" style="74" customWidth="1"/>
    <col min="9221" max="9221" width="12.5" style="74" customWidth="1"/>
    <col min="9222" max="9222" width="7.296875" style="74" customWidth="1"/>
    <col min="9223" max="9223" width="13.296875" style="74" customWidth="1"/>
    <col min="9224" max="9224" width="12.296875" style="74" customWidth="1"/>
    <col min="9225" max="9225" width="15.5" style="74" customWidth="1"/>
    <col min="9226" max="9226" width="11.296875" style="74" bestFit="1" customWidth="1"/>
    <col min="9227" max="9227" width="11.19921875" style="74"/>
    <col min="9228" max="9228" width="11.5" style="74" bestFit="1" customWidth="1"/>
    <col min="9229" max="9229" width="11.296875" style="74" bestFit="1" customWidth="1"/>
    <col min="9230" max="9472" width="11.19921875" style="74"/>
    <col min="9473" max="9473" width="3.796875" style="74" customWidth="1"/>
    <col min="9474" max="9474" width="5.796875" style="74" customWidth="1"/>
    <col min="9475" max="9475" width="8.796875" style="74" customWidth="1"/>
    <col min="9476" max="9476" width="26" style="74" customWidth="1"/>
    <col min="9477" max="9477" width="12.5" style="74" customWidth="1"/>
    <col min="9478" max="9478" width="7.296875" style="74" customWidth="1"/>
    <col min="9479" max="9479" width="13.296875" style="74" customWidth="1"/>
    <col min="9480" max="9480" width="12.296875" style="74" customWidth="1"/>
    <col min="9481" max="9481" width="15.5" style="74" customWidth="1"/>
    <col min="9482" max="9482" width="11.296875" style="74" bestFit="1" customWidth="1"/>
    <col min="9483" max="9483" width="11.19921875" style="74"/>
    <col min="9484" max="9484" width="11.5" style="74" bestFit="1" customWidth="1"/>
    <col min="9485" max="9485" width="11.296875" style="74" bestFit="1" customWidth="1"/>
    <col min="9486" max="9728" width="11.19921875" style="74"/>
    <col min="9729" max="9729" width="3.796875" style="74" customWidth="1"/>
    <col min="9730" max="9730" width="5.796875" style="74" customWidth="1"/>
    <col min="9731" max="9731" width="8.796875" style="74" customWidth="1"/>
    <col min="9732" max="9732" width="26" style="74" customWidth="1"/>
    <col min="9733" max="9733" width="12.5" style="74" customWidth="1"/>
    <col min="9734" max="9734" width="7.296875" style="74" customWidth="1"/>
    <col min="9735" max="9735" width="13.296875" style="74" customWidth="1"/>
    <col min="9736" max="9736" width="12.296875" style="74" customWidth="1"/>
    <col min="9737" max="9737" width="15.5" style="74" customWidth="1"/>
    <col min="9738" max="9738" width="11.296875" style="74" bestFit="1" customWidth="1"/>
    <col min="9739" max="9739" width="11.19921875" style="74"/>
    <col min="9740" max="9740" width="11.5" style="74" bestFit="1" customWidth="1"/>
    <col min="9741" max="9741" width="11.296875" style="74" bestFit="1" customWidth="1"/>
    <col min="9742" max="9984" width="11.19921875" style="74"/>
    <col min="9985" max="9985" width="3.796875" style="74" customWidth="1"/>
    <col min="9986" max="9986" width="5.796875" style="74" customWidth="1"/>
    <col min="9987" max="9987" width="8.796875" style="74" customWidth="1"/>
    <col min="9988" max="9988" width="26" style="74" customWidth="1"/>
    <col min="9989" max="9989" width="12.5" style="74" customWidth="1"/>
    <col min="9990" max="9990" width="7.296875" style="74" customWidth="1"/>
    <col min="9991" max="9991" width="13.296875" style="74" customWidth="1"/>
    <col min="9992" max="9992" width="12.296875" style="74" customWidth="1"/>
    <col min="9993" max="9993" width="15.5" style="74" customWidth="1"/>
    <col min="9994" max="9994" width="11.296875" style="74" bestFit="1" customWidth="1"/>
    <col min="9995" max="9995" width="11.19921875" style="74"/>
    <col min="9996" max="9996" width="11.5" style="74" bestFit="1" customWidth="1"/>
    <col min="9997" max="9997" width="11.296875" style="74" bestFit="1" customWidth="1"/>
    <col min="9998" max="10240" width="11.19921875" style="74"/>
    <col min="10241" max="10241" width="3.796875" style="74" customWidth="1"/>
    <col min="10242" max="10242" width="5.796875" style="74" customWidth="1"/>
    <col min="10243" max="10243" width="8.796875" style="74" customWidth="1"/>
    <col min="10244" max="10244" width="26" style="74" customWidth="1"/>
    <col min="10245" max="10245" width="12.5" style="74" customWidth="1"/>
    <col min="10246" max="10246" width="7.296875" style="74" customWidth="1"/>
    <col min="10247" max="10247" width="13.296875" style="74" customWidth="1"/>
    <col min="10248" max="10248" width="12.296875" style="74" customWidth="1"/>
    <col min="10249" max="10249" width="15.5" style="74" customWidth="1"/>
    <col min="10250" max="10250" width="11.296875" style="74" bestFit="1" customWidth="1"/>
    <col min="10251" max="10251" width="11.19921875" style="74"/>
    <col min="10252" max="10252" width="11.5" style="74" bestFit="1" customWidth="1"/>
    <col min="10253" max="10253" width="11.296875" style="74" bestFit="1" customWidth="1"/>
    <col min="10254" max="10496" width="11.19921875" style="74"/>
    <col min="10497" max="10497" width="3.796875" style="74" customWidth="1"/>
    <col min="10498" max="10498" width="5.796875" style="74" customWidth="1"/>
    <col min="10499" max="10499" width="8.796875" style="74" customWidth="1"/>
    <col min="10500" max="10500" width="26" style="74" customWidth="1"/>
    <col min="10501" max="10501" width="12.5" style="74" customWidth="1"/>
    <col min="10502" max="10502" width="7.296875" style="74" customWidth="1"/>
    <col min="10503" max="10503" width="13.296875" style="74" customWidth="1"/>
    <col min="10504" max="10504" width="12.296875" style="74" customWidth="1"/>
    <col min="10505" max="10505" width="15.5" style="74" customWidth="1"/>
    <col min="10506" max="10506" width="11.296875" style="74" bestFit="1" customWidth="1"/>
    <col min="10507" max="10507" width="11.19921875" style="74"/>
    <col min="10508" max="10508" width="11.5" style="74" bestFit="1" customWidth="1"/>
    <col min="10509" max="10509" width="11.296875" style="74" bestFit="1" customWidth="1"/>
    <col min="10510" max="10752" width="11.19921875" style="74"/>
    <col min="10753" max="10753" width="3.796875" style="74" customWidth="1"/>
    <col min="10754" max="10754" width="5.796875" style="74" customWidth="1"/>
    <col min="10755" max="10755" width="8.796875" style="74" customWidth="1"/>
    <col min="10756" max="10756" width="26" style="74" customWidth="1"/>
    <col min="10757" max="10757" width="12.5" style="74" customWidth="1"/>
    <col min="10758" max="10758" width="7.296875" style="74" customWidth="1"/>
    <col min="10759" max="10759" width="13.296875" style="74" customWidth="1"/>
    <col min="10760" max="10760" width="12.296875" style="74" customWidth="1"/>
    <col min="10761" max="10761" width="15.5" style="74" customWidth="1"/>
    <col min="10762" max="10762" width="11.296875" style="74" bestFit="1" customWidth="1"/>
    <col min="10763" max="10763" width="11.19921875" style="74"/>
    <col min="10764" max="10764" width="11.5" style="74" bestFit="1" customWidth="1"/>
    <col min="10765" max="10765" width="11.296875" style="74" bestFit="1" customWidth="1"/>
    <col min="10766" max="11008" width="11.19921875" style="74"/>
    <col min="11009" max="11009" width="3.796875" style="74" customWidth="1"/>
    <col min="11010" max="11010" width="5.796875" style="74" customWidth="1"/>
    <col min="11011" max="11011" width="8.796875" style="74" customWidth="1"/>
    <col min="11012" max="11012" width="26" style="74" customWidth="1"/>
    <col min="11013" max="11013" width="12.5" style="74" customWidth="1"/>
    <col min="11014" max="11014" width="7.296875" style="74" customWidth="1"/>
    <col min="11015" max="11015" width="13.296875" style="74" customWidth="1"/>
    <col min="11016" max="11016" width="12.296875" style="74" customWidth="1"/>
    <col min="11017" max="11017" width="15.5" style="74" customWidth="1"/>
    <col min="11018" max="11018" width="11.296875" style="74" bestFit="1" customWidth="1"/>
    <col min="11019" max="11019" width="11.19921875" style="74"/>
    <col min="11020" max="11020" width="11.5" style="74" bestFit="1" customWidth="1"/>
    <col min="11021" max="11021" width="11.296875" style="74" bestFit="1" customWidth="1"/>
    <col min="11022" max="11264" width="11.19921875" style="74"/>
    <col min="11265" max="11265" width="3.796875" style="74" customWidth="1"/>
    <col min="11266" max="11266" width="5.796875" style="74" customWidth="1"/>
    <col min="11267" max="11267" width="8.796875" style="74" customWidth="1"/>
    <col min="11268" max="11268" width="26" style="74" customWidth="1"/>
    <col min="11269" max="11269" width="12.5" style="74" customWidth="1"/>
    <col min="11270" max="11270" width="7.296875" style="74" customWidth="1"/>
    <col min="11271" max="11271" width="13.296875" style="74" customWidth="1"/>
    <col min="11272" max="11272" width="12.296875" style="74" customWidth="1"/>
    <col min="11273" max="11273" width="15.5" style="74" customWidth="1"/>
    <col min="11274" max="11274" width="11.296875" style="74" bestFit="1" customWidth="1"/>
    <col min="11275" max="11275" width="11.19921875" style="74"/>
    <col min="11276" max="11276" width="11.5" style="74" bestFit="1" customWidth="1"/>
    <col min="11277" max="11277" width="11.296875" style="74" bestFit="1" customWidth="1"/>
    <col min="11278" max="11520" width="11.19921875" style="74"/>
    <col min="11521" max="11521" width="3.796875" style="74" customWidth="1"/>
    <col min="11522" max="11522" width="5.796875" style="74" customWidth="1"/>
    <col min="11523" max="11523" width="8.796875" style="74" customWidth="1"/>
    <col min="11524" max="11524" width="26" style="74" customWidth="1"/>
    <col min="11525" max="11525" width="12.5" style="74" customWidth="1"/>
    <col min="11526" max="11526" width="7.296875" style="74" customWidth="1"/>
    <col min="11527" max="11527" width="13.296875" style="74" customWidth="1"/>
    <col min="11528" max="11528" width="12.296875" style="74" customWidth="1"/>
    <col min="11529" max="11529" width="15.5" style="74" customWidth="1"/>
    <col min="11530" max="11530" width="11.296875" style="74" bestFit="1" customWidth="1"/>
    <col min="11531" max="11531" width="11.19921875" style="74"/>
    <col min="11532" max="11532" width="11.5" style="74" bestFit="1" customWidth="1"/>
    <col min="11533" max="11533" width="11.296875" style="74" bestFit="1" customWidth="1"/>
    <col min="11534" max="11776" width="11.19921875" style="74"/>
    <col min="11777" max="11777" width="3.796875" style="74" customWidth="1"/>
    <col min="11778" max="11778" width="5.796875" style="74" customWidth="1"/>
    <col min="11779" max="11779" width="8.796875" style="74" customWidth="1"/>
    <col min="11780" max="11780" width="26" style="74" customWidth="1"/>
    <col min="11781" max="11781" width="12.5" style="74" customWidth="1"/>
    <col min="11782" max="11782" width="7.296875" style="74" customWidth="1"/>
    <col min="11783" max="11783" width="13.296875" style="74" customWidth="1"/>
    <col min="11784" max="11784" width="12.296875" style="74" customWidth="1"/>
    <col min="11785" max="11785" width="15.5" style="74" customWidth="1"/>
    <col min="11786" max="11786" width="11.296875" style="74" bestFit="1" customWidth="1"/>
    <col min="11787" max="11787" width="11.19921875" style="74"/>
    <col min="11788" max="11788" width="11.5" style="74" bestFit="1" customWidth="1"/>
    <col min="11789" max="11789" width="11.296875" style="74" bestFit="1" customWidth="1"/>
    <col min="11790" max="12032" width="11.19921875" style="74"/>
    <col min="12033" max="12033" width="3.796875" style="74" customWidth="1"/>
    <col min="12034" max="12034" width="5.796875" style="74" customWidth="1"/>
    <col min="12035" max="12035" width="8.796875" style="74" customWidth="1"/>
    <col min="12036" max="12036" width="26" style="74" customWidth="1"/>
    <col min="12037" max="12037" width="12.5" style="74" customWidth="1"/>
    <col min="12038" max="12038" width="7.296875" style="74" customWidth="1"/>
    <col min="12039" max="12039" width="13.296875" style="74" customWidth="1"/>
    <col min="12040" max="12040" width="12.296875" style="74" customWidth="1"/>
    <col min="12041" max="12041" width="15.5" style="74" customWidth="1"/>
    <col min="12042" max="12042" width="11.296875" style="74" bestFit="1" customWidth="1"/>
    <col min="12043" max="12043" width="11.19921875" style="74"/>
    <col min="12044" max="12044" width="11.5" style="74" bestFit="1" customWidth="1"/>
    <col min="12045" max="12045" width="11.296875" style="74" bestFit="1" customWidth="1"/>
    <col min="12046" max="12288" width="11.19921875" style="74"/>
    <col min="12289" max="12289" width="3.796875" style="74" customWidth="1"/>
    <col min="12290" max="12290" width="5.796875" style="74" customWidth="1"/>
    <col min="12291" max="12291" width="8.796875" style="74" customWidth="1"/>
    <col min="12292" max="12292" width="26" style="74" customWidth="1"/>
    <col min="12293" max="12293" width="12.5" style="74" customWidth="1"/>
    <col min="12294" max="12294" width="7.296875" style="74" customWidth="1"/>
    <col min="12295" max="12295" width="13.296875" style="74" customWidth="1"/>
    <col min="12296" max="12296" width="12.296875" style="74" customWidth="1"/>
    <col min="12297" max="12297" width="15.5" style="74" customWidth="1"/>
    <col min="12298" max="12298" width="11.296875" style="74" bestFit="1" customWidth="1"/>
    <col min="12299" max="12299" width="11.19921875" style="74"/>
    <col min="12300" max="12300" width="11.5" style="74" bestFit="1" customWidth="1"/>
    <col min="12301" max="12301" width="11.296875" style="74" bestFit="1" customWidth="1"/>
    <col min="12302" max="12544" width="11.19921875" style="74"/>
    <col min="12545" max="12545" width="3.796875" style="74" customWidth="1"/>
    <col min="12546" max="12546" width="5.796875" style="74" customWidth="1"/>
    <col min="12547" max="12547" width="8.796875" style="74" customWidth="1"/>
    <col min="12548" max="12548" width="26" style="74" customWidth="1"/>
    <col min="12549" max="12549" width="12.5" style="74" customWidth="1"/>
    <col min="12550" max="12550" width="7.296875" style="74" customWidth="1"/>
    <col min="12551" max="12551" width="13.296875" style="74" customWidth="1"/>
    <col min="12552" max="12552" width="12.296875" style="74" customWidth="1"/>
    <col min="12553" max="12553" width="15.5" style="74" customWidth="1"/>
    <col min="12554" max="12554" width="11.296875" style="74" bestFit="1" customWidth="1"/>
    <col min="12555" max="12555" width="11.19921875" style="74"/>
    <col min="12556" max="12556" width="11.5" style="74" bestFit="1" customWidth="1"/>
    <col min="12557" max="12557" width="11.296875" style="74" bestFit="1" customWidth="1"/>
    <col min="12558" max="12800" width="11.19921875" style="74"/>
    <col min="12801" max="12801" width="3.796875" style="74" customWidth="1"/>
    <col min="12802" max="12802" width="5.796875" style="74" customWidth="1"/>
    <col min="12803" max="12803" width="8.796875" style="74" customWidth="1"/>
    <col min="12804" max="12804" width="26" style="74" customWidth="1"/>
    <col min="12805" max="12805" width="12.5" style="74" customWidth="1"/>
    <col min="12806" max="12806" width="7.296875" style="74" customWidth="1"/>
    <col min="12807" max="12807" width="13.296875" style="74" customWidth="1"/>
    <col min="12808" max="12808" width="12.296875" style="74" customWidth="1"/>
    <col min="12809" max="12809" width="15.5" style="74" customWidth="1"/>
    <col min="12810" max="12810" width="11.296875" style="74" bestFit="1" customWidth="1"/>
    <col min="12811" max="12811" width="11.19921875" style="74"/>
    <col min="12812" max="12812" width="11.5" style="74" bestFit="1" customWidth="1"/>
    <col min="12813" max="12813" width="11.296875" style="74" bestFit="1" customWidth="1"/>
    <col min="12814" max="13056" width="11.19921875" style="74"/>
    <col min="13057" max="13057" width="3.796875" style="74" customWidth="1"/>
    <col min="13058" max="13058" width="5.796875" style="74" customWidth="1"/>
    <col min="13059" max="13059" width="8.796875" style="74" customWidth="1"/>
    <col min="13060" max="13060" width="26" style="74" customWidth="1"/>
    <col min="13061" max="13061" width="12.5" style="74" customWidth="1"/>
    <col min="13062" max="13062" width="7.296875" style="74" customWidth="1"/>
    <col min="13063" max="13063" width="13.296875" style="74" customWidth="1"/>
    <col min="13064" max="13064" width="12.296875" style="74" customWidth="1"/>
    <col min="13065" max="13065" width="15.5" style="74" customWidth="1"/>
    <col min="13066" max="13066" width="11.296875" style="74" bestFit="1" customWidth="1"/>
    <col min="13067" max="13067" width="11.19921875" style="74"/>
    <col min="13068" max="13068" width="11.5" style="74" bestFit="1" customWidth="1"/>
    <col min="13069" max="13069" width="11.296875" style="74" bestFit="1" customWidth="1"/>
    <col min="13070" max="13312" width="11.19921875" style="74"/>
    <col min="13313" max="13313" width="3.796875" style="74" customWidth="1"/>
    <col min="13314" max="13314" width="5.796875" style="74" customWidth="1"/>
    <col min="13315" max="13315" width="8.796875" style="74" customWidth="1"/>
    <col min="13316" max="13316" width="26" style="74" customWidth="1"/>
    <col min="13317" max="13317" width="12.5" style="74" customWidth="1"/>
    <col min="13318" max="13318" width="7.296875" style="74" customWidth="1"/>
    <col min="13319" max="13319" width="13.296875" style="74" customWidth="1"/>
    <col min="13320" max="13320" width="12.296875" style="74" customWidth="1"/>
    <col min="13321" max="13321" width="15.5" style="74" customWidth="1"/>
    <col min="13322" max="13322" width="11.296875" style="74" bestFit="1" customWidth="1"/>
    <col min="13323" max="13323" width="11.19921875" style="74"/>
    <col min="13324" max="13324" width="11.5" style="74" bestFit="1" customWidth="1"/>
    <col min="13325" max="13325" width="11.296875" style="74" bestFit="1" customWidth="1"/>
    <col min="13326" max="13568" width="11.19921875" style="74"/>
    <col min="13569" max="13569" width="3.796875" style="74" customWidth="1"/>
    <col min="13570" max="13570" width="5.796875" style="74" customWidth="1"/>
    <col min="13571" max="13571" width="8.796875" style="74" customWidth="1"/>
    <col min="13572" max="13572" width="26" style="74" customWidth="1"/>
    <col min="13573" max="13573" width="12.5" style="74" customWidth="1"/>
    <col min="13574" max="13574" width="7.296875" style="74" customWidth="1"/>
    <col min="13575" max="13575" width="13.296875" style="74" customWidth="1"/>
    <col min="13576" max="13576" width="12.296875" style="74" customWidth="1"/>
    <col min="13577" max="13577" width="15.5" style="74" customWidth="1"/>
    <col min="13578" max="13578" width="11.296875" style="74" bestFit="1" customWidth="1"/>
    <col min="13579" max="13579" width="11.19921875" style="74"/>
    <col min="13580" max="13580" width="11.5" style="74" bestFit="1" customWidth="1"/>
    <col min="13581" max="13581" width="11.296875" style="74" bestFit="1" customWidth="1"/>
    <col min="13582" max="13824" width="11.19921875" style="74"/>
    <col min="13825" max="13825" width="3.796875" style="74" customWidth="1"/>
    <col min="13826" max="13826" width="5.796875" style="74" customWidth="1"/>
    <col min="13827" max="13827" width="8.796875" style="74" customWidth="1"/>
    <col min="13828" max="13828" width="26" style="74" customWidth="1"/>
    <col min="13829" max="13829" width="12.5" style="74" customWidth="1"/>
    <col min="13830" max="13830" width="7.296875" style="74" customWidth="1"/>
    <col min="13831" max="13831" width="13.296875" style="74" customWidth="1"/>
    <col min="13832" max="13832" width="12.296875" style="74" customWidth="1"/>
    <col min="13833" max="13833" width="15.5" style="74" customWidth="1"/>
    <col min="13834" max="13834" width="11.296875" style="74" bestFit="1" customWidth="1"/>
    <col min="13835" max="13835" width="11.19921875" style="74"/>
    <col min="13836" max="13836" width="11.5" style="74" bestFit="1" customWidth="1"/>
    <col min="13837" max="13837" width="11.296875" style="74" bestFit="1" customWidth="1"/>
    <col min="13838" max="14080" width="11.19921875" style="74"/>
    <col min="14081" max="14081" width="3.796875" style="74" customWidth="1"/>
    <col min="14082" max="14082" width="5.796875" style="74" customWidth="1"/>
    <col min="14083" max="14083" width="8.796875" style="74" customWidth="1"/>
    <col min="14084" max="14084" width="26" style="74" customWidth="1"/>
    <col min="14085" max="14085" width="12.5" style="74" customWidth="1"/>
    <col min="14086" max="14086" width="7.296875" style="74" customWidth="1"/>
    <col min="14087" max="14087" width="13.296875" style="74" customWidth="1"/>
    <col min="14088" max="14088" width="12.296875" style="74" customWidth="1"/>
    <col min="14089" max="14089" width="15.5" style="74" customWidth="1"/>
    <col min="14090" max="14090" width="11.296875" style="74" bestFit="1" customWidth="1"/>
    <col min="14091" max="14091" width="11.19921875" style="74"/>
    <col min="14092" max="14092" width="11.5" style="74" bestFit="1" customWidth="1"/>
    <col min="14093" max="14093" width="11.296875" style="74" bestFit="1" customWidth="1"/>
    <col min="14094" max="14336" width="11.19921875" style="74"/>
    <col min="14337" max="14337" width="3.796875" style="74" customWidth="1"/>
    <col min="14338" max="14338" width="5.796875" style="74" customWidth="1"/>
    <col min="14339" max="14339" width="8.796875" style="74" customWidth="1"/>
    <col min="14340" max="14340" width="26" style="74" customWidth="1"/>
    <col min="14341" max="14341" width="12.5" style="74" customWidth="1"/>
    <col min="14342" max="14342" width="7.296875" style="74" customWidth="1"/>
    <col min="14343" max="14343" width="13.296875" style="74" customWidth="1"/>
    <col min="14344" max="14344" width="12.296875" style="74" customWidth="1"/>
    <col min="14345" max="14345" width="15.5" style="74" customWidth="1"/>
    <col min="14346" max="14346" width="11.296875" style="74" bestFit="1" customWidth="1"/>
    <col min="14347" max="14347" width="11.19921875" style="74"/>
    <col min="14348" max="14348" width="11.5" style="74" bestFit="1" customWidth="1"/>
    <col min="14349" max="14349" width="11.296875" style="74" bestFit="1" customWidth="1"/>
    <col min="14350" max="14592" width="11.19921875" style="74"/>
    <col min="14593" max="14593" width="3.796875" style="74" customWidth="1"/>
    <col min="14594" max="14594" width="5.796875" style="74" customWidth="1"/>
    <col min="14595" max="14595" width="8.796875" style="74" customWidth="1"/>
    <col min="14596" max="14596" width="26" style="74" customWidth="1"/>
    <col min="14597" max="14597" width="12.5" style="74" customWidth="1"/>
    <col min="14598" max="14598" width="7.296875" style="74" customWidth="1"/>
    <col min="14599" max="14599" width="13.296875" style="74" customWidth="1"/>
    <col min="14600" max="14600" width="12.296875" style="74" customWidth="1"/>
    <col min="14601" max="14601" width="15.5" style="74" customWidth="1"/>
    <col min="14602" max="14602" width="11.296875" style="74" bestFit="1" customWidth="1"/>
    <col min="14603" max="14603" width="11.19921875" style="74"/>
    <col min="14604" max="14604" width="11.5" style="74" bestFit="1" customWidth="1"/>
    <col min="14605" max="14605" width="11.296875" style="74" bestFit="1" customWidth="1"/>
    <col min="14606" max="14848" width="11.19921875" style="74"/>
    <col min="14849" max="14849" width="3.796875" style="74" customWidth="1"/>
    <col min="14850" max="14850" width="5.796875" style="74" customWidth="1"/>
    <col min="14851" max="14851" width="8.796875" style="74" customWidth="1"/>
    <col min="14852" max="14852" width="26" style="74" customWidth="1"/>
    <col min="14853" max="14853" width="12.5" style="74" customWidth="1"/>
    <col min="14854" max="14854" width="7.296875" style="74" customWidth="1"/>
    <col min="14855" max="14855" width="13.296875" style="74" customWidth="1"/>
    <col min="14856" max="14856" width="12.296875" style="74" customWidth="1"/>
    <col min="14857" max="14857" width="15.5" style="74" customWidth="1"/>
    <col min="14858" max="14858" width="11.296875" style="74" bestFit="1" customWidth="1"/>
    <col min="14859" max="14859" width="11.19921875" style="74"/>
    <col min="14860" max="14860" width="11.5" style="74" bestFit="1" customWidth="1"/>
    <col min="14861" max="14861" width="11.296875" style="74" bestFit="1" customWidth="1"/>
    <col min="14862" max="15104" width="11.19921875" style="74"/>
    <col min="15105" max="15105" width="3.796875" style="74" customWidth="1"/>
    <col min="15106" max="15106" width="5.796875" style="74" customWidth="1"/>
    <col min="15107" max="15107" width="8.796875" style="74" customWidth="1"/>
    <col min="15108" max="15108" width="26" style="74" customWidth="1"/>
    <col min="15109" max="15109" width="12.5" style="74" customWidth="1"/>
    <col min="15110" max="15110" width="7.296875" style="74" customWidth="1"/>
    <col min="15111" max="15111" width="13.296875" style="74" customWidth="1"/>
    <col min="15112" max="15112" width="12.296875" style="74" customWidth="1"/>
    <col min="15113" max="15113" width="15.5" style="74" customWidth="1"/>
    <col min="15114" max="15114" width="11.296875" style="74" bestFit="1" customWidth="1"/>
    <col min="15115" max="15115" width="11.19921875" style="74"/>
    <col min="15116" max="15116" width="11.5" style="74" bestFit="1" customWidth="1"/>
    <col min="15117" max="15117" width="11.296875" style="74" bestFit="1" customWidth="1"/>
    <col min="15118" max="15360" width="11.19921875" style="74"/>
    <col min="15361" max="15361" width="3.796875" style="74" customWidth="1"/>
    <col min="15362" max="15362" width="5.796875" style="74" customWidth="1"/>
    <col min="15363" max="15363" width="8.796875" style="74" customWidth="1"/>
    <col min="15364" max="15364" width="26" style="74" customWidth="1"/>
    <col min="15365" max="15365" width="12.5" style="74" customWidth="1"/>
    <col min="15366" max="15366" width="7.296875" style="74" customWidth="1"/>
    <col min="15367" max="15367" width="13.296875" style="74" customWidth="1"/>
    <col min="15368" max="15368" width="12.296875" style="74" customWidth="1"/>
    <col min="15369" max="15369" width="15.5" style="74" customWidth="1"/>
    <col min="15370" max="15370" width="11.296875" style="74" bestFit="1" customWidth="1"/>
    <col min="15371" max="15371" width="11.19921875" style="74"/>
    <col min="15372" max="15372" width="11.5" style="74" bestFit="1" customWidth="1"/>
    <col min="15373" max="15373" width="11.296875" style="74" bestFit="1" customWidth="1"/>
    <col min="15374" max="15616" width="11.19921875" style="74"/>
    <col min="15617" max="15617" width="3.796875" style="74" customWidth="1"/>
    <col min="15618" max="15618" width="5.796875" style="74" customWidth="1"/>
    <col min="15619" max="15619" width="8.796875" style="74" customWidth="1"/>
    <col min="15620" max="15620" width="26" style="74" customWidth="1"/>
    <col min="15621" max="15621" width="12.5" style="74" customWidth="1"/>
    <col min="15622" max="15622" width="7.296875" style="74" customWidth="1"/>
    <col min="15623" max="15623" width="13.296875" style="74" customWidth="1"/>
    <col min="15624" max="15624" width="12.296875" style="74" customWidth="1"/>
    <col min="15625" max="15625" width="15.5" style="74" customWidth="1"/>
    <col min="15626" max="15626" width="11.296875" style="74" bestFit="1" customWidth="1"/>
    <col min="15627" max="15627" width="11.19921875" style="74"/>
    <col min="15628" max="15628" width="11.5" style="74" bestFit="1" customWidth="1"/>
    <col min="15629" max="15629" width="11.296875" style="74" bestFit="1" customWidth="1"/>
    <col min="15630" max="15872" width="11.19921875" style="74"/>
    <col min="15873" max="15873" width="3.796875" style="74" customWidth="1"/>
    <col min="15874" max="15874" width="5.796875" style="74" customWidth="1"/>
    <col min="15875" max="15875" width="8.796875" style="74" customWidth="1"/>
    <col min="15876" max="15876" width="26" style="74" customWidth="1"/>
    <col min="15877" max="15877" width="12.5" style="74" customWidth="1"/>
    <col min="15878" max="15878" width="7.296875" style="74" customWidth="1"/>
    <col min="15879" max="15879" width="13.296875" style="74" customWidth="1"/>
    <col min="15880" max="15880" width="12.296875" style="74" customWidth="1"/>
    <col min="15881" max="15881" width="15.5" style="74" customWidth="1"/>
    <col min="15882" max="15882" width="11.296875" style="74" bestFit="1" customWidth="1"/>
    <col min="15883" max="15883" width="11.19921875" style="74"/>
    <col min="15884" max="15884" width="11.5" style="74" bestFit="1" customWidth="1"/>
    <col min="15885" max="15885" width="11.296875" style="74" bestFit="1" customWidth="1"/>
    <col min="15886" max="16128" width="11.19921875" style="74"/>
    <col min="16129" max="16129" width="3.796875" style="74" customWidth="1"/>
    <col min="16130" max="16130" width="5.796875" style="74" customWidth="1"/>
    <col min="16131" max="16131" width="8.796875" style="74" customWidth="1"/>
    <col min="16132" max="16132" width="26" style="74" customWidth="1"/>
    <col min="16133" max="16133" width="12.5" style="74" customWidth="1"/>
    <col min="16134" max="16134" width="7.296875" style="74" customWidth="1"/>
    <col min="16135" max="16135" width="13.296875" style="74" customWidth="1"/>
    <col min="16136" max="16136" width="12.296875" style="74" customWidth="1"/>
    <col min="16137" max="16137" width="15.5" style="74" customWidth="1"/>
    <col min="16138" max="16138" width="11.296875" style="74" bestFit="1" customWidth="1"/>
    <col min="16139" max="16139" width="11.19921875" style="74"/>
    <col min="16140" max="16140" width="11.5" style="74" bestFit="1" customWidth="1"/>
    <col min="16141" max="16141" width="11.296875" style="74" bestFit="1" customWidth="1"/>
    <col min="16142" max="16384" width="11.19921875" style="74"/>
  </cols>
  <sheetData>
    <row r="1" spans="2:18" s="2" customFormat="1" ht="33.75" customHeight="1" thickBot="1">
      <c r="F1" s="132"/>
      <c r="G1" s="132"/>
      <c r="H1" s="132"/>
      <c r="I1" s="132"/>
      <c r="N1" s="3"/>
      <c r="O1" s="3"/>
      <c r="P1" s="3"/>
      <c r="Q1" s="3"/>
      <c r="R1" s="3"/>
    </row>
    <row r="2" spans="2:18" s="2" customFormat="1" ht="34.5" customHeight="1" thickBot="1">
      <c r="B2" s="133" t="s">
        <v>2</v>
      </c>
      <c r="C2" s="134"/>
      <c r="D2" s="134"/>
      <c r="E2" s="134"/>
      <c r="F2" s="134"/>
      <c r="G2" s="134"/>
      <c r="H2" s="134"/>
      <c r="I2" s="135"/>
      <c r="M2" s="4" t="s">
        <v>60</v>
      </c>
      <c r="N2" s="3"/>
      <c r="O2" s="3"/>
      <c r="P2" s="3"/>
      <c r="Q2" s="3"/>
      <c r="R2" s="3"/>
    </row>
    <row r="3" spans="2:18" s="2" customFormat="1" ht="19.95" customHeight="1">
      <c r="B3" s="136" t="s">
        <v>3</v>
      </c>
      <c r="C3" s="136"/>
      <c r="D3" s="5" t="s">
        <v>63</v>
      </c>
      <c r="E3" s="5"/>
      <c r="F3" s="5"/>
      <c r="G3" s="6" t="s">
        <v>4</v>
      </c>
      <c r="H3" s="7" t="s">
        <v>5</v>
      </c>
      <c r="I3" s="8"/>
      <c r="N3" s="3"/>
      <c r="O3" s="3"/>
      <c r="P3" s="3"/>
      <c r="Q3" s="3"/>
      <c r="R3" s="3"/>
    </row>
    <row r="4" spans="2:18" s="2" customFormat="1" ht="19.95" customHeight="1">
      <c r="B4" s="109" t="s">
        <v>6</v>
      </c>
      <c r="C4" s="109"/>
      <c r="D4" s="5" t="s">
        <v>58</v>
      </c>
      <c r="E4" s="9"/>
      <c r="F4" s="10"/>
      <c r="G4" s="11" t="s">
        <v>7</v>
      </c>
      <c r="H4" s="12" t="s">
        <v>8</v>
      </c>
      <c r="I4" s="13"/>
      <c r="N4" s="3"/>
      <c r="O4" s="3"/>
      <c r="P4" s="3"/>
      <c r="Q4" s="3"/>
      <c r="R4" s="3"/>
    </row>
    <row r="5" spans="2:18" s="2" customFormat="1" ht="19.95" customHeight="1">
      <c r="B5" s="109" t="s">
        <v>9</v>
      </c>
      <c r="C5" s="109"/>
      <c r="D5" s="5"/>
      <c r="E5" s="14"/>
      <c r="F5" s="10"/>
      <c r="G5" s="11" t="s">
        <v>10</v>
      </c>
      <c r="H5" s="12" t="s">
        <v>11</v>
      </c>
      <c r="I5" s="15"/>
      <c r="N5" s="3"/>
      <c r="O5" s="3"/>
      <c r="P5" s="3"/>
      <c r="Q5" s="3"/>
      <c r="R5" s="3"/>
    </row>
    <row r="6" spans="2:18" s="2" customFormat="1" ht="19.95" customHeight="1">
      <c r="B6" s="109" t="s">
        <v>12</v>
      </c>
      <c r="C6" s="109"/>
      <c r="D6" s="14">
        <v>46063</v>
      </c>
      <c r="E6" s="15"/>
      <c r="F6" s="10"/>
      <c r="G6" s="11" t="s">
        <v>13</v>
      </c>
      <c r="H6" s="12" t="s">
        <v>14</v>
      </c>
      <c r="I6" s="15"/>
      <c r="N6" s="3"/>
      <c r="O6" s="3"/>
      <c r="P6" s="3"/>
      <c r="Q6" s="3"/>
      <c r="R6" s="3"/>
    </row>
    <row r="7" spans="2:18" s="2" customFormat="1" ht="19.95" customHeight="1">
      <c r="B7" s="109" t="s">
        <v>15</v>
      </c>
      <c r="C7" s="109"/>
      <c r="D7" s="15" t="s">
        <v>16</v>
      </c>
      <c r="E7" s="16"/>
      <c r="F7" s="10"/>
      <c r="G7" s="11" t="s">
        <v>17</v>
      </c>
      <c r="H7" s="17" t="s">
        <v>18</v>
      </c>
      <c r="I7" s="15"/>
      <c r="N7" s="3"/>
      <c r="O7" s="3"/>
      <c r="P7" s="3"/>
      <c r="Q7" s="3"/>
      <c r="R7" s="3"/>
    </row>
    <row r="8" spans="2:18" s="2" customFormat="1" ht="19.95" customHeight="1">
      <c r="B8" s="110" t="s">
        <v>19</v>
      </c>
      <c r="C8" s="110"/>
      <c r="D8" s="18" t="s">
        <v>20</v>
      </c>
      <c r="E8" s="18"/>
      <c r="F8" s="18"/>
      <c r="G8" s="19"/>
      <c r="H8" s="20"/>
      <c r="I8" s="21"/>
      <c r="N8" s="3"/>
      <c r="O8" s="3"/>
      <c r="P8" s="3"/>
      <c r="Q8" s="3"/>
      <c r="R8" s="3"/>
    </row>
    <row r="9" spans="2:18" s="2" customFormat="1" ht="36" customHeight="1" thickBot="1">
      <c r="B9" s="22" t="s">
        <v>78</v>
      </c>
      <c r="D9" s="23"/>
      <c r="E9" s="23"/>
      <c r="F9" s="23"/>
      <c r="G9" s="24"/>
      <c r="H9" s="25"/>
      <c r="I9" s="23"/>
      <c r="L9" s="2" t="s">
        <v>52</v>
      </c>
      <c r="M9" s="2">
        <v>39</v>
      </c>
      <c r="N9" s="3"/>
      <c r="O9" s="3"/>
      <c r="P9" s="3"/>
      <c r="Q9" s="3"/>
      <c r="R9" s="3"/>
    </row>
    <row r="10" spans="2:18" s="2" customFormat="1" ht="22.5" customHeight="1">
      <c r="B10" s="26" t="str">
        <f>"제안금액 :일금"&amp;NUMBERSTRING(ROUNDDOWN(I25,-2),1)&amp;"원정 ("&amp;DOLLAR(ROUNDDOWN(I25,-2))&amp;")"&amp;IF(J11=0," V.A.T 별도"," V.A.T 포함")</f>
        <v>제안금액 :일금육백만원정 (₩6,000,000) V.A.T 별도</v>
      </c>
      <c r="C10" s="27"/>
      <c r="D10" s="27"/>
      <c r="E10" s="27"/>
      <c r="F10" s="28"/>
      <c r="G10" s="29"/>
      <c r="H10" s="30"/>
      <c r="I10" s="29"/>
      <c r="J10" s="31" t="s">
        <v>21</v>
      </c>
      <c r="L10" s="2" t="s">
        <v>53</v>
      </c>
      <c r="M10" s="2">
        <v>110</v>
      </c>
      <c r="N10" s="3"/>
      <c r="O10" s="3"/>
      <c r="P10" s="3"/>
      <c r="Q10" s="3"/>
      <c r="R10" s="3"/>
    </row>
    <row r="11" spans="2:18" s="2" customFormat="1" ht="24" customHeight="1" thickBot="1">
      <c r="B11" s="32" t="s">
        <v>22</v>
      </c>
      <c r="C11" s="33"/>
      <c r="D11" s="34"/>
      <c r="E11" s="34"/>
      <c r="F11" s="34"/>
      <c r="G11" s="34"/>
      <c r="H11" s="35"/>
      <c r="I11" s="36" t="str">
        <f>"단위:원 / "&amp;IF(J11=0, "VAT별도","VAT포함")</f>
        <v>단위:원 / VAT별도</v>
      </c>
      <c r="J11" s="37">
        <v>0</v>
      </c>
      <c r="L11" s="2" t="s">
        <v>54</v>
      </c>
      <c r="M11" s="2">
        <v>9</v>
      </c>
      <c r="N11" s="3"/>
      <c r="O11" s="3"/>
      <c r="P11" s="3"/>
      <c r="Q11" s="3"/>
      <c r="R11" s="3"/>
    </row>
    <row r="12" spans="2:18" s="38" customFormat="1" ht="27" customHeight="1">
      <c r="B12" s="85" t="s">
        <v>23</v>
      </c>
      <c r="C12" s="111" t="s">
        <v>24</v>
      </c>
      <c r="D12" s="112"/>
      <c r="E12" s="113"/>
      <c r="F12" s="86" t="s">
        <v>25</v>
      </c>
      <c r="G12" s="87" t="s">
        <v>26</v>
      </c>
      <c r="H12" s="88" t="s">
        <v>27</v>
      </c>
      <c r="I12" s="89" t="s">
        <v>28</v>
      </c>
      <c r="L12" s="38" t="s">
        <v>55</v>
      </c>
      <c r="M12" s="2">
        <v>13</v>
      </c>
      <c r="N12" s="39"/>
      <c r="O12" s="39"/>
      <c r="P12" s="39"/>
    </row>
    <row r="13" spans="2:18" s="44" customFormat="1" ht="16.95" customHeight="1">
      <c r="B13" s="114" t="s">
        <v>29</v>
      </c>
      <c r="C13" s="40" t="s">
        <v>30</v>
      </c>
      <c r="D13" s="117" t="s">
        <v>31</v>
      </c>
      <c r="E13" s="118"/>
      <c r="F13" s="41" t="s">
        <v>32</v>
      </c>
      <c r="G13" s="42" t="s">
        <v>33</v>
      </c>
      <c r="H13" s="42" t="s">
        <v>27</v>
      </c>
      <c r="I13" s="43" t="s">
        <v>34</v>
      </c>
      <c r="L13" s="44" t="s">
        <v>56</v>
      </c>
      <c r="M13" s="2">
        <v>2</v>
      </c>
    </row>
    <row r="14" spans="2:18" s="44" customFormat="1" ht="19.8" customHeight="1">
      <c r="B14" s="115"/>
      <c r="C14" s="45" t="s">
        <v>59</v>
      </c>
      <c r="D14" s="119" t="s">
        <v>61</v>
      </c>
      <c r="E14" s="120"/>
      <c r="F14" s="46"/>
      <c r="G14" s="129">
        <v>13500000</v>
      </c>
      <c r="H14" s="42">
        <f>F14*G14</f>
        <v>0</v>
      </c>
      <c r="I14" s="97">
        <f>12000000*F18</f>
        <v>6000000</v>
      </c>
      <c r="L14" s="44" t="s">
        <v>57</v>
      </c>
      <c r="M14" s="2">
        <v>8</v>
      </c>
    </row>
    <row r="15" spans="2:18" s="44" customFormat="1" ht="19.8" customHeight="1">
      <c r="B15" s="115"/>
      <c r="C15" s="45" t="s">
        <v>35</v>
      </c>
      <c r="D15" s="119" t="s">
        <v>36</v>
      </c>
      <c r="E15" s="120"/>
      <c r="F15" s="46"/>
      <c r="G15" s="130"/>
      <c r="H15" s="42">
        <f>G14*F15</f>
        <v>0</v>
      </c>
      <c r="I15" s="98"/>
      <c r="L15" s="44" t="s">
        <v>57</v>
      </c>
      <c r="M15" s="2">
        <v>8</v>
      </c>
    </row>
    <row r="16" spans="2:18" s="44" customFormat="1" ht="19.8" customHeight="1">
      <c r="B16" s="115"/>
      <c r="C16" s="45" t="s">
        <v>37</v>
      </c>
      <c r="D16" s="121" t="s">
        <v>38</v>
      </c>
      <c r="E16" s="122"/>
      <c r="F16" s="46">
        <v>0.5</v>
      </c>
      <c r="G16" s="130"/>
      <c r="H16" s="42">
        <f>ROUNDDOWN(G14*F16,-3)</f>
        <v>6750000</v>
      </c>
      <c r="I16" s="98"/>
      <c r="M16" s="44">
        <f>SUM(M9:M15)</f>
        <v>189</v>
      </c>
    </row>
    <row r="17" spans="1:13" s="44" customFormat="1" ht="19.8" customHeight="1" thickBot="1">
      <c r="B17" s="115"/>
      <c r="C17" s="45" t="s">
        <v>39</v>
      </c>
      <c r="D17" s="119" t="s">
        <v>40</v>
      </c>
      <c r="E17" s="120"/>
      <c r="F17" s="46"/>
      <c r="G17" s="131"/>
      <c r="H17" s="42">
        <f>G14*F17</f>
        <v>0</v>
      </c>
      <c r="I17" s="98"/>
    </row>
    <row r="18" spans="1:13" s="44" customFormat="1" ht="16.95" customHeight="1">
      <c r="B18" s="115"/>
      <c r="C18" s="123" t="s">
        <v>41</v>
      </c>
      <c r="D18" s="124"/>
      <c r="E18" s="125"/>
      <c r="F18" s="47">
        <f>SUM(F13:F17)</f>
        <v>0.5</v>
      </c>
      <c r="G18" s="48">
        <f>G14</f>
        <v>13500000</v>
      </c>
      <c r="H18" s="48">
        <f>SUM(H13:H17)</f>
        <v>6750000</v>
      </c>
      <c r="I18" s="99"/>
      <c r="J18" s="49" t="s">
        <v>42</v>
      </c>
    </row>
    <row r="19" spans="1:13" s="44" customFormat="1" ht="16.95" customHeight="1" thickBot="1">
      <c r="B19" s="116"/>
      <c r="C19" s="126" t="s">
        <v>43</v>
      </c>
      <c r="D19" s="127"/>
      <c r="E19" s="127"/>
      <c r="F19" s="127"/>
      <c r="G19" s="127"/>
      <c r="H19" s="128"/>
      <c r="I19" s="90">
        <f>SUM(I13:I18)</f>
        <v>6000000</v>
      </c>
      <c r="J19" s="50">
        <v>0.06</v>
      </c>
    </row>
    <row r="20" spans="1:13" s="58" customFormat="1" ht="16.95" customHeight="1">
      <c r="A20" s="51"/>
      <c r="B20" s="52"/>
      <c r="C20" s="53"/>
      <c r="D20" s="54"/>
      <c r="E20" s="54"/>
      <c r="F20" s="55"/>
      <c r="G20" s="56"/>
      <c r="H20" s="56"/>
      <c r="I20" s="57"/>
    </row>
    <row r="21" spans="1:13" s="58" customFormat="1" ht="18" hidden="1" customHeight="1">
      <c r="A21" s="51"/>
      <c r="B21" s="59"/>
      <c r="C21" s="100" t="s">
        <v>44</v>
      </c>
      <c r="D21" s="103" t="s">
        <v>45</v>
      </c>
      <c r="E21" s="104"/>
      <c r="F21" s="60" t="s">
        <v>46</v>
      </c>
      <c r="G21" s="61" t="s">
        <v>47</v>
      </c>
      <c r="H21" s="62" t="s">
        <v>48</v>
      </c>
      <c r="I21" s="63"/>
    </row>
    <row r="22" spans="1:13" s="58" customFormat="1" ht="16.95" hidden="1" customHeight="1">
      <c r="A22" s="51"/>
      <c r="B22" s="59"/>
      <c r="C22" s="101"/>
      <c r="D22" s="105" t="s">
        <v>49</v>
      </c>
      <c r="E22" s="106"/>
      <c r="F22" s="64">
        <v>782099993</v>
      </c>
      <c r="G22" s="65">
        <f>F22*0.06</f>
        <v>46925999.579999998</v>
      </c>
      <c r="H22" s="66">
        <f>G22/12</f>
        <v>3910499.9649999999</v>
      </c>
      <c r="I22" s="63"/>
    </row>
    <row r="23" spans="1:13" s="58" customFormat="1" ht="16.5" hidden="1" customHeight="1">
      <c r="A23" s="51"/>
      <c r="B23" s="59"/>
      <c r="C23" s="102"/>
      <c r="D23" s="107"/>
      <c r="E23" s="108"/>
      <c r="F23" s="67"/>
      <c r="G23" s="68">
        <f>F23*15%</f>
        <v>0</v>
      </c>
      <c r="H23" s="69"/>
      <c r="I23" s="63"/>
    </row>
    <row r="24" spans="1:13" s="58" customFormat="1" ht="16.95" customHeight="1">
      <c r="A24" s="51"/>
      <c r="B24" s="59"/>
      <c r="D24" s="70"/>
      <c r="E24" s="70"/>
      <c r="F24" s="71"/>
      <c r="G24" s="72"/>
      <c r="H24" s="73"/>
      <c r="I24" s="63"/>
    </row>
    <row r="25" spans="1:13" s="78" customFormat="1" ht="21.75" customHeight="1" thickBot="1">
      <c r="A25" s="74"/>
      <c r="B25" s="91" t="str">
        <f>"제  안  금  액  합  계"&amp;IF(J11=0," (V.A.T 별도)"," (V.A.T 포함)")</f>
        <v>제  안  금  액  합  계 (V.A.T 별도)</v>
      </c>
      <c r="C25" s="92"/>
      <c r="D25" s="92"/>
      <c r="E25" s="92"/>
      <c r="F25" s="92"/>
      <c r="G25" s="92"/>
      <c r="H25" s="93"/>
      <c r="I25" s="75">
        <f>I19</f>
        <v>6000000</v>
      </c>
      <c r="J25" s="76"/>
      <c r="K25" s="74"/>
      <c r="L25" s="77"/>
      <c r="M25" s="76"/>
    </row>
    <row r="26" spans="1:13" s="78" customFormat="1" ht="16.2" thickBot="1">
      <c r="A26" s="74"/>
      <c r="B26" s="79"/>
      <c r="C26" s="80"/>
      <c r="D26" s="81"/>
      <c r="E26" s="81"/>
      <c r="F26" s="81"/>
      <c r="G26" s="82"/>
      <c r="H26" s="82"/>
      <c r="I26" s="82"/>
      <c r="J26" s="74" t="s">
        <v>50</v>
      </c>
      <c r="K26" s="74"/>
      <c r="L26" s="74"/>
      <c r="M26" s="74"/>
    </row>
    <row r="27" spans="1:13" s="78" customFormat="1" ht="80.55" customHeight="1" thickBot="1">
      <c r="A27" s="74"/>
      <c r="B27" s="83" t="s">
        <v>51</v>
      </c>
      <c r="C27" s="94" t="s">
        <v>62</v>
      </c>
      <c r="D27" s="95"/>
      <c r="E27" s="95"/>
      <c r="F27" s="95"/>
      <c r="G27" s="95"/>
      <c r="H27" s="95"/>
      <c r="I27" s="96"/>
      <c r="J27" s="74"/>
      <c r="K27" s="74"/>
      <c r="L27" s="74"/>
      <c r="M27" s="74"/>
    </row>
    <row r="28" spans="1:13" s="78" customFormat="1">
      <c r="A28" s="74"/>
      <c r="B28" s="84"/>
      <c r="C28" s="84"/>
      <c r="D28" s="74"/>
      <c r="E28" s="74"/>
      <c r="F28" s="77"/>
      <c r="G28" s="77"/>
      <c r="H28" s="77"/>
      <c r="I28" s="74"/>
      <c r="J28" s="74"/>
      <c r="K28" s="74"/>
      <c r="L28" s="74"/>
      <c r="M28" s="74"/>
    </row>
  </sheetData>
  <sheetProtection selectLockedCells="1" selectUnlockedCells="1"/>
  <mergeCells count="25">
    <mergeCell ref="B6:C6"/>
    <mergeCell ref="F1:I1"/>
    <mergeCell ref="B2:I2"/>
    <mergeCell ref="B3:C3"/>
    <mergeCell ref="B4:C4"/>
    <mergeCell ref="B5:C5"/>
    <mergeCell ref="B7:C7"/>
    <mergeCell ref="B8:C8"/>
    <mergeCell ref="C12:E12"/>
    <mergeCell ref="B13:B19"/>
    <mergeCell ref="D13:E13"/>
    <mergeCell ref="D15:E15"/>
    <mergeCell ref="D14:E14"/>
    <mergeCell ref="D16:E16"/>
    <mergeCell ref="D17:E17"/>
    <mergeCell ref="C18:E18"/>
    <mergeCell ref="C19:H19"/>
    <mergeCell ref="G14:G17"/>
    <mergeCell ref="B25:H25"/>
    <mergeCell ref="C27:I27"/>
    <mergeCell ref="I14:I18"/>
    <mergeCell ref="C21:C23"/>
    <mergeCell ref="D21:E21"/>
    <mergeCell ref="D22:E22"/>
    <mergeCell ref="D23:E23"/>
  </mergeCells>
  <phoneticPr fontId="1" type="noConversion"/>
  <hyperlinks>
    <hyperlink ref="H7" r:id="rId1" xr:uid="{E42587FF-F5D4-40B0-8D34-98C352764787}"/>
  </hyperlinks>
  <printOptions horizontalCentered="1"/>
  <pageMargins left="7.874015748031496E-2" right="7.874015748031496E-2" top="7.874015748031496E-2" bottom="0.82677165354330717" header="7.874015748031496E-2" footer="7.874015748031496E-2"/>
  <pageSetup paperSize="9" scale="91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6089-11AF-4087-A7A6-74820574D801}">
  <sheetPr>
    <pageSetUpPr fitToPage="1"/>
  </sheetPr>
  <dimension ref="A3:F50"/>
  <sheetViews>
    <sheetView workbookViewId="0">
      <selection activeCell="F5" sqref="F5"/>
    </sheetView>
  </sheetViews>
  <sheetFormatPr defaultColWidth="8.69921875" defaultRowHeight="15.6"/>
  <cols>
    <col min="1" max="1" width="8.69921875" style="138"/>
    <col min="2" max="2" width="12.296875" style="138" customWidth="1"/>
    <col min="3" max="3" width="30.796875" style="147" bestFit="1" customWidth="1"/>
    <col min="4" max="4" width="28.69921875" style="147" customWidth="1"/>
    <col min="5" max="5" width="56.296875" style="147" customWidth="1"/>
    <col min="6" max="6" width="16.09765625" style="146" customWidth="1"/>
    <col min="7" max="16384" width="8.69921875" style="138"/>
  </cols>
  <sheetData>
    <row r="3" spans="1:6">
      <c r="A3" s="137" t="s">
        <v>64</v>
      </c>
      <c r="B3" s="137" t="s">
        <v>65</v>
      </c>
      <c r="C3" s="137" t="s">
        <v>66</v>
      </c>
      <c r="D3" s="137"/>
      <c r="E3" s="137" t="s">
        <v>67</v>
      </c>
      <c r="F3" s="137" t="s">
        <v>68</v>
      </c>
    </row>
    <row r="4" spans="1:6">
      <c r="A4" s="139">
        <v>1</v>
      </c>
      <c r="B4" s="139"/>
      <c r="C4" s="140"/>
      <c r="D4" s="140"/>
      <c r="E4" s="140"/>
      <c r="F4" s="139"/>
    </row>
    <row r="5" spans="1:6" ht="60.6" customHeight="1">
      <c r="A5" s="141">
        <v>1.1000000000000001</v>
      </c>
      <c r="B5" s="141" t="s">
        <v>69</v>
      </c>
      <c r="C5" s="142" t="s">
        <v>70</v>
      </c>
      <c r="D5" s="142"/>
      <c r="E5" s="143" t="s">
        <v>71</v>
      </c>
      <c r="F5" s="141">
        <v>5</v>
      </c>
    </row>
    <row r="6" spans="1:6" ht="60.6" customHeight="1">
      <c r="A6" s="141">
        <v>1.2</v>
      </c>
      <c r="B6" s="141" t="s">
        <v>72</v>
      </c>
      <c r="C6" s="142" t="s">
        <v>73</v>
      </c>
      <c r="D6" s="142"/>
      <c r="E6" s="143" t="s">
        <v>74</v>
      </c>
      <c r="F6" s="141">
        <v>2</v>
      </c>
    </row>
    <row r="7" spans="1:6" s="145" customFormat="1" ht="70.95" customHeight="1">
      <c r="A7" s="141">
        <v>2.1</v>
      </c>
      <c r="B7" s="144" t="s">
        <v>75</v>
      </c>
      <c r="C7" s="142" t="s">
        <v>76</v>
      </c>
      <c r="D7" s="142"/>
      <c r="E7" s="143" t="s">
        <v>77</v>
      </c>
      <c r="F7" s="141">
        <v>3</v>
      </c>
    </row>
    <row r="8" spans="1:6">
      <c r="A8" s="146"/>
      <c r="B8" s="146"/>
    </row>
    <row r="9" spans="1:6">
      <c r="A9" s="146"/>
      <c r="B9" s="146"/>
    </row>
    <row r="10" spans="1:6">
      <c r="A10" s="146"/>
      <c r="B10" s="146"/>
    </row>
    <row r="11" spans="1:6">
      <c r="A11" s="146"/>
      <c r="B11" s="146"/>
    </row>
    <row r="12" spans="1:6">
      <c r="A12" s="146"/>
      <c r="B12" s="146"/>
    </row>
    <row r="13" spans="1:6">
      <c r="A13" s="146"/>
      <c r="B13" s="146"/>
    </row>
    <row r="14" spans="1:6">
      <c r="A14" s="146"/>
      <c r="B14" s="146"/>
    </row>
    <row r="15" spans="1:6">
      <c r="A15" s="146"/>
      <c r="B15" s="146"/>
    </row>
    <row r="16" spans="1:6">
      <c r="A16" s="146"/>
      <c r="B16" s="146"/>
    </row>
    <row r="17" spans="1:2">
      <c r="A17" s="146"/>
      <c r="B17" s="146"/>
    </row>
    <row r="18" spans="1:2">
      <c r="A18" s="146"/>
      <c r="B18" s="146"/>
    </row>
    <row r="19" spans="1:2">
      <c r="A19" s="146"/>
      <c r="B19" s="146"/>
    </row>
    <row r="20" spans="1:2">
      <c r="A20" s="146"/>
      <c r="B20" s="146"/>
    </row>
    <row r="21" spans="1:2">
      <c r="A21" s="146"/>
      <c r="B21" s="146"/>
    </row>
    <row r="22" spans="1:2">
      <c r="A22" s="146"/>
      <c r="B22" s="146"/>
    </row>
    <row r="23" spans="1:2">
      <c r="A23" s="146"/>
      <c r="B23" s="146"/>
    </row>
    <row r="24" spans="1:2">
      <c r="A24" s="146"/>
      <c r="B24" s="146"/>
    </row>
    <row r="25" spans="1:2">
      <c r="A25" s="146"/>
      <c r="B25" s="146"/>
    </row>
    <row r="26" spans="1:2">
      <c r="A26" s="146"/>
      <c r="B26" s="146"/>
    </row>
    <row r="27" spans="1:2">
      <c r="A27" s="146"/>
      <c r="B27" s="146"/>
    </row>
    <row r="28" spans="1:2">
      <c r="A28" s="146"/>
      <c r="B28" s="146"/>
    </row>
    <row r="29" spans="1:2">
      <c r="A29" s="146"/>
      <c r="B29" s="146"/>
    </row>
    <row r="30" spans="1:2">
      <c r="A30" s="146"/>
      <c r="B30" s="146"/>
    </row>
    <row r="31" spans="1:2">
      <c r="A31" s="146"/>
      <c r="B31" s="146"/>
    </row>
    <row r="32" spans="1:2">
      <c r="A32" s="146"/>
      <c r="B32" s="146"/>
    </row>
    <row r="33" spans="1:2">
      <c r="A33" s="146"/>
      <c r="B33" s="146"/>
    </row>
    <row r="34" spans="1:2">
      <c r="A34" s="146"/>
      <c r="B34" s="146"/>
    </row>
    <row r="35" spans="1:2">
      <c r="A35" s="146"/>
      <c r="B35" s="146"/>
    </row>
    <row r="36" spans="1:2">
      <c r="A36" s="146"/>
      <c r="B36" s="146"/>
    </row>
    <row r="37" spans="1:2">
      <c r="A37" s="146"/>
      <c r="B37" s="146"/>
    </row>
    <row r="38" spans="1:2">
      <c r="A38" s="146"/>
      <c r="B38" s="146"/>
    </row>
    <row r="39" spans="1:2">
      <c r="A39" s="146"/>
      <c r="B39" s="146"/>
    </row>
    <row r="40" spans="1:2">
      <c r="A40" s="146"/>
      <c r="B40" s="146"/>
    </row>
    <row r="41" spans="1:2">
      <c r="A41" s="146"/>
      <c r="B41" s="146"/>
    </row>
    <row r="42" spans="1:2">
      <c r="A42" s="146"/>
      <c r="B42" s="146"/>
    </row>
    <row r="43" spans="1:2">
      <c r="A43" s="146"/>
      <c r="B43" s="146"/>
    </row>
    <row r="44" spans="1:2">
      <c r="A44" s="146"/>
      <c r="B44" s="146"/>
    </row>
    <row r="45" spans="1:2">
      <c r="A45" s="146"/>
      <c r="B45" s="146"/>
    </row>
    <row r="46" spans="1:2">
      <c r="A46" s="146"/>
      <c r="B46" s="146"/>
    </row>
    <row r="47" spans="1:2">
      <c r="A47" s="146"/>
      <c r="B47" s="146"/>
    </row>
    <row r="48" spans="1:2">
      <c r="A48" s="146"/>
      <c r="B48" s="146"/>
    </row>
    <row r="49" spans="1:2">
      <c r="A49" s="146"/>
      <c r="B49" s="146"/>
    </row>
    <row r="50" spans="1:2">
      <c r="A50" s="146"/>
      <c r="B50" s="146"/>
    </row>
  </sheetData>
  <phoneticPr fontId="1" type="noConversion"/>
  <pageMargins left="0.7" right="0.7" top="0.75" bottom="0.75" header="0.3" footer="0.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72FC-D612-465C-9252-E2520BEC5019}">
  <dimension ref="A1:B1"/>
  <sheetViews>
    <sheetView workbookViewId="0">
      <selection activeCell="A12" sqref="A12"/>
    </sheetView>
  </sheetViews>
  <sheetFormatPr defaultColWidth="8.796875" defaultRowHeight="17.399999999999999"/>
  <cols>
    <col min="1" max="1" width="86" customWidth="1"/>
    <col min="2" max="2" width="43.296875" customWidth="1"/>
  </cols>
  <sheetData>
    <row r="1" spans="1:2" ht="35.549999999999997" customHeight="1">
      <c r="A1" s="1" t="s">
        <v>1</v>
      </c>
      <c r="B1" s="1" t="s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1592f5-add8-4be3-94b4-19cf7edb8853">
      <Terms xmlns="http://schemas.microsoft.com/office/infopath/2007/PartnerControls"/>
    </lcf76f155ced4ddcb4097134ff3c332f>
    <TaxCatchAll xmlns="4ad34cc6-def4-401d-ad2c-4bd32b0090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1A88666F241D94A90F3405EDFD4914C" ma:contentTypeVersion="14" ma:contentTypeDescription="새 문서를 만듭니다." ma:contentTypeScope="" ma:versionID="6c1bda0926f3091ac223d39a6ee8202e">
  <xsd:schema xmlns:xsd="http://www.w3.org/2001/XMLSchema" xmlns:xs="http://www.w3.org/2001/XMLSchema" xmlns:p="http://schemas.microsoft.com/office/2006/metadata/properties" xmlns:ns2="e61592f5-add8-4be3-94b4-19cf7edb8853" xmlns:ns3="4ad34cc6-def4-401d-ad2c-4bd32b00908b" targetNamespace="http://schemas.microsoft.com/office/2006/metadata/properties" ma:root="true" ma:fieldsID="b7444967b8d3c448d6aebd4bdf4a03c6" ns2:_="" ns3:_="">
    <xsd:import namespace="e61592f5-add8-4be3-94b4-19cf7edb8853"/>
    <xsd:import namespace="4ad34cc6-def4-401d-ad2c-4bd32b009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592f5-add8-4be3-94b4-19cf7edb8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098aedb4-f866-45ef-bf56-894ffd8de7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34cc6-def4-401d-ad2c-4bd32b0090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da3944-11b7-4a9e-9c76-273ce856934a}" ma:internalName="TaxCatchAll" ma:showField="CatchAllData" ma:web="4ad34cc6-def4-401d-ad2c-4bd32b0090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A3544C-41FF-4D7F-B6B6-893FA52E63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1F65EF-A78F-47C5-A638-9A40916DEC2E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e61592f5-add8-4be3-94b4-19cf7edb8853"/>
    <ds:schemaRef ds:uri="http://schemas.microsoft.com/office/infopath/2007/PartnerControls"/>
    <ds:schemaRef ds:uri="http://schemas.openxmlformats.org/package/2006/metadata/core-properties"/>
    <ds:schemaRef ds:uri="4ad34cc6-def4-401d-ad2c-4bd32b00908b"/>
  </ds:schemaRefs>
</ds:datastoreItem>
</file>

<file path=customXml/itemProps3.xml><?xml version="1.0" encoding="utf-8"?>
<ds:datastoreItem xmlns:ds="http://schemas.openxmlformats.org/officeDocument/2006/customXml" ds:itemID="{B13082F5-93EE-4C13-A0E6-EE46BC88C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1592f5-add8-4be3-94b4-19cf7edb8853"/>
    <ds:schemaRef ds:uri="4ad34cc6-def4-401d-ad2c-4bd32b0090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Sheet2</vt:lpstr>
      <vt:lpstr>게시판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신지훈</dc:creator>
  <cp:lastModifiedBy>김예종</cp:lastModifiedBy>
  <cp:lastPrinted>2026-02-10T02:11:13Z</cp:lastPrinted>
  <dcterms:created xsi:type="dcterms:W3CDTF">2025-05-28T06:58:03Z</dcterms:created>
  <dcterms:modified xsi:type="dcterms:W3CDTF">2026-02-10T02:11:49Z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0x01010011A88666F241D94A90F3405EDFD4914C</vt:lpwstr>
  </property>
  <property fmtid="{D5CDD505-2E9C-101B-9397-08002B2CF9AE}" pid="3" name="MediaServiceImageTags">
    <vt:lpwstr/>
  </property>
</Properties>
</file>