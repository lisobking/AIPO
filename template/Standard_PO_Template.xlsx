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S사업부\고객지원 업무 백업 파일\지혜\계약, 견적, 발주서\정보통신기획평가원\"/>
    </mc:Choice>
  </mc:AlternateContent>
  <xr:revisionPtr revIDLastSave="0" documentId="13_ncr:1_{54E9B090-A5E2-4F20-BB38-D6B91741B55D}" xr6:coauthVersionLast="36" xr6:coauthVersionMax="36" xr10:uidLastSave="{00000000-0000-0000-0000-000000000000}"/>
  <bookViews>
    <workbookView xWindow="0" yWindow="0" windowWidth="28800" windowHeight="12180" xr2:uid="{29BB5136-CC4E-4C9F-9E9A-2F7C408B109A}"/>
  </bookViews>
  <sheets>
    <sheet name="모바일단말관리" sheetId="1" r:id="rId1"/>
    <sheet name="ASP SY" sheetId="2" r:id="rId2"/>
  </sheets>
  <definedNames>
    <definedName name="_xlnm.Print_Area" localSheetId="1">'ASP SY'!$A$1:$H$37</definedName>
    <definedName name="_xlnm.Print_Area" localSheetId="0">모바일단말관리!$A$1:$H$43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2" l="1"/>
  <c r="G27" i="2" s="1"/>
  <c r="F18" i="2"/>
  <c r="F26" i="2" s="1"/>
  <c r="F27" i="2" s="1"/>
  <c r="G32" i="1" l="1"/>
  <c r="G33" i="1" s="1"/>
  <c r="F18" i="1"/>
  <c r="F32" i="1" s="1"/>
  <c r="F33" i="1" s="1"/>
</calcChain>
</file>

<file path=xl/sharedStrings.xml><?xml version="1.0" encoding="utf-8"?>
<sst xmlns="http://schemas.openxmlformats.org/spreadsheetml/2006/main" count="86" uniqueCount="55">
  <si>
    <t xml:space="preserve">발주번호 </t>
    <phoneticPr fontId="3" type="noConversion"/>
  </si>
  <si>
    <t xml:space="preserve">발주일자 </t>
    <phoneticPr fontId="3" type="noConversion"/>
  </si>
  <si>
    <t xml:space="preserve">수신 </t>
    <phoneticPr fontId="3" type="noConversion"/>
  </si>
  <si>
    <t xml:space="preserve">참조 </t>
    <phoneticPr fontId="3" type="noConversion"/>
  </si>
  <si>
    <t>경기도 과천시 과천대로12길 117</t>
    <phoneticPr fontId="3" type="noConversion"/>
  </si>
  <si>
    <t>과천펜타원 D동 12층 외</t>
    <phoneticPr fontId="3" type="noConversion"/>
  </si>
  <si>
    <t>Tel : (02)2140-5884</t>
    <phoneticPr fontId="3" type="noConversion"/>
  </si>
  <si>
    <t>Fax : (02)2140-5888</t>
    <phoneticPr fontId="3" type="noConversion"/>
  </si>
  <si>
    <t>건으로 아래와 같이 발주합니다</t>
    <phoneticPr fontId="3" type="noConversion"/>
  </si>
  <si>
    <t>대표이사  조  창  제</t>
    <phoneticPr fontId="3" type="noConversion"/>
  </si>
  <si>
    <t>NO.</t>
    <phoneticPr fontId="3" type="noConversion"/>
  </si>
  <si>
    <t xml:space="preserve"> 품    명</t>
    <phoneticPr fontId="3" type="noConversion"/>
  </si>
  <si>
    <t>수량</t>
    <phoneticPr fontId="3" type="noConversion"/>
  </si>
  <si>
    <t>월 단가</t>
    <phoneticPr fontId="3" type="noConversion"/>
  </si>
  <si>
    <t>합계</t>
    <phoneticPr fontId="3" type="noConversion"/>
  </si>
  <si>
    <t>유지보수</t>
    <phoneticPr fontId="3" type="noConversion"/>
  </si>
  <si>
    <t>합    계(VAT 별도)</t>
    <phoneticPr fontId="3" type="noConversion"/>
  </si>
  <si>
    <t>합    계(VAT 포함)</t>
    <phoneticPr fontId="3" type="noConversion"/>
  </si>
  <si>
    <t xml:space="preserve">대금지급 </t>
    <phoneticPr fontId="3" type="noConversion"/>
  </si>
  <si>
    <t>: 매월 말 세금계산서 발행/원청 수금 후 익월 15일 현금 지급</t>
    <phoneticPr fontId="3" type="noConversion"/>
  </si>
  <si>
    <t xml:space="preserve">납품장소 </t>
    <phoneticPr fontId="3" type="noConversion"/>
  </si>
  <si>
    <t>: 고객사 지정위치</t>
    <phoneticPr fontId="3" type="noConversion"/>
  </si>
  <si>
    <t xml:space="preserve">담당자 </t>
    <phoneticPr fontId="3" type="noConversion"/>
  </si>
  <si>
    <t>: 가온아이 CS사업부 박지혜 (iii511@kaoni.com 02-2140-5884)</t>
    <phoneticPr fontId="3" type="noConversion"/>
  </si>
  <si>
    <t>: 첨부 견적서</t>
    <phoneticPr fontId="3" type="noConversion"/>
  </si>
  <si>
    <t>: 박승엽 대표님</t>
    <phoneticPr fontId="3" type="noConversion"/>
  </si>
  <si>
    <t>모바일 단말관리 OneGuard MDM MA 1Y</t>
    <phoneticPr fontId="3" type="noConversion"/>
  </si>
  <si>
    <t xml:space="preserve">계약기간 </t>
    <phoneticPr fontId="3" type="noConversion"/>
  </si>
  <si>
    <t>: 2026년 1월 1일 ~ 2026년 12월 30일 (1년)</t>
    <phoneticPr fontId="3" type="noConversion"/>
  </si>
  <si>
    <t xml:space="preserve">제품구성 </t>
    <phoneticPr fontId="3" type="noConversion"/>
  </si>
  <si>
    <t>OneGuard MDM v1.2 Server_(SW)</t>
  </si>
  <si>
    <t>OneGuard MDM, v1.2 Client</t>
    <phoneticPr fontId="3" type="noConversion"/>
  </si>
  <si>
    <t>- 정책관리 및 관리자 모드</t>
    <phoneticPr fontId="3" type="noConversion"/>
  </si>
  <si>
    <t>- 정책관리 및 단말관리</t>
    <phoneticPr fontId="3" type="noConversion"/>
  </si>
  <si>
    <t>- 대쉬보드 및 현황</t>
    <phoneticPr fontId="3" type="noConversion"/>
  </si>
  <si>
    <t>- 담말 기기제어 기능</t>
    <phoneticPr fontId="3" type="noConversion"/>
  </si>
  <si>
    <t>- 데이터 삭제, 백업, 복구기능</t>
    <phoneticPr fontId="3" type="noConversion"/>
  </si>
  <si>
    <t xml:space="preserve">- SPS기반 위치 조회   </t>
    <phoneticPr fontId="3" type="noConversion"/>
  </si>
  <si>
    <t>- 소프트웨어 배포 및 설치 관리</t>
    <phoneticPr fontId="3" type="noConversion"/>
  </si>
  <si>
    <t>- 지원 OS : IOS , Android</t>
    <phoneticPr fontId="3" type="noConversion"/>
  </si>
  <si>
    <t>- 단말 제어기능 (화면, 기기잠금, 해제, 초기화)</t>
    <phoneticPr fontId="3" type="noConversion"/>
  </si>
  <si>
    <t>보안솔루션 ASP_5Y 2년차</t>
    <phoneticPr fontId="3" type="noConversion"/>
  </si>
  <si>
    <t>- TouchEn mTranskey for IOS</t>
    <phoneticPr fontId="3" type="noConversion"/>
  </si>
  <si>
    <t xml:space="preserve">- TouchEn mTranskey for Android </t>
    <phoneticPr fontId="3" type="noConversion"/>
  </si>
  <si>
    <t xml:space="preserve">- TouchEn mVaccine for Android </t>
    <phoneticPr fontId="3" type="noConversion"/>
  </si>
  <si>
    <t>- TouchEn mVaccine for IOS</t>
    <phoneticPr fontId="3" type="noConversion"/>
  </si>
  <si>
    <t>- TouchEn AppIron for Android</t>
    <phoneticPr fontId="3" type="noConversion"/>
  </si>
  <si>
    <t>- TouchEn AppIron for IOS</t>
    <phoneticPr fontId="3" type="noConversion"/>
  </si>
  <si>
    <t>: KAONI-CS260330-1</t>
    <phoneticPr fontId="3" type="noConversion"/>
  </si>
  <si>
    <t>: 2026년 3월 30일</t>
    <phoneticPr fontId="3" type="noConversion"/>
  </si>
  <si>
    <t>: 아라ICT</t>
    <phoneticPr fontId="3" type="noConversion"/>
  </si>
  <si>
    <t>: KAONI-CS260330-2</t>
    <phoneticPr fontId="3" type="noConversion"/>
  </si>
  <si>
    <t>: 4월 말 계산서 발행 /원청 수금 후 익월 15일 현금 지급</t>
    <phoneticPr fontId="3" type="noConversion"/>
  </si>
  <si>
    <t xml:space="preserve">"정보통신기획평가원 모바일 단말관리 유지보수 " </t>
    <phoneticPr fontId="3" type="noConversion"/>
  </si>
  <si>
    <t xml:space="preserve">"정보통신기획평가원 보안솔루션 ASP_5Y 2년차"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</si>
</sst>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);[Red]\(#,##0\)"/>
    <numFmt numFmtId="177" formatCode="&quot;₩&quot;#,##0"/>
    <numFmt numFmtId="178" formatCode="_(* #,##0_);_(* \(#,##0\);_(* &quot;-&quot;_);_(@_)"/>
    <numFmt numFmtId="179" formatCode="0_);[Red]\(0\)"/>
    <numFmt numFmtId="180" formatCode="0&quot;개월&quot;"/>
  </numFmts>
  <fonts count="12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49" fontId="2" fillId="0" borderId="2" xfId="0" applyNumberFormat="1" applyFont="1" applyBorder="1"/>
    <xf numFmtId="176" fontId="2" fillId="0" borderId="2" xfId="1" applyNumberFormat="1" applyFont="1" applyBorder="1" applyAlignment="1">
      <alignment horizontal="center"/>
    </xf>
    <xf numFmtId="176" fontId="2" fillId="0" borderId="2" xfId="1" applyNumberFormat="1" applyFont="1" applyBorder="1"/>
    <xf numFmtId="0" fontId="2" fillId="0" borderId="3" xfId="0" applyFont="1" applyBorder="1"/>
    <xf numFmtId="0" fontId="2" fillId="0" borderId="0" xfId="0" applyFont="1"/>
    <xf numFmtId="0" fontId="4" fillId="0" borderId="4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49" fontId="4" fillId="0" borderId="0" xfId="0" applyNumberFormat="1" applyFont="1" applyBorder="1"/>
    <xf numFmtId="176" fontId="4" fillId="0" borderId="0" xfId="1" applyNumberFormat="1" applyFont="1" applyBorder="1" applyAlignment="1">
      <alignment horizontal="center"/>
    </xf>
    <xf numFmtId="176" fontId="4" fillId="0" borderId="0" xfId="1" applyNumberFormat="1" applyFont="1" applyBorder="1"/>
    <xf numFmtId="0" fontId="4" fillId="0" borderId="5" xfId="0" applyFont="1" applyBorder="1"/>
    <xf numFmtId="0" fontId="5" fillId="0" borderId="0" xfId="0" applyFont="1" applyAlignment="1">
      <alignment horizontal="distributed" vertical="center" indent="1" readingOrder="1"/>
    </xf>
    <xf numFmtId="0" fontId="4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0" applyFont="1" applyBorder="1" applyAlignment="1"/>
    <xf numFmtId="0" fontId="7" fillId="0" borderId="0" xfId="0" applyFont="1" applyBorder="1"/>
    <xf numFmtId="3" fontId="7" fillId="0" borderId="0" xfId="0" applyNumberFormat="1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/>
    </xf>
    <xf numFmtId="176" fontId="4" fillId="2" borderId="7" xfId="1" applyNumberFormat="1" applyFont="1" applyFill="1" applyBorder="1" applyAlignment="1">
      <alignment horizontal="center"/>
    </xf>
    <xf numFmtId="176" fontId="4" fillId="2" borderId="8" xfId="1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49" fontId="8" fillId="0" borderId="9" xfId="0" applyNumberFormat="1" applyFont="1" applyFill="1" applyBorder="1" applyAlignment="1" applyProtection="1">
      <alignment horizontal="center" vertical="center" shrinkToFit="1"/>
      <protection locked="0"/>
    </xf>
    <xf numFmtId="38" fontId="9" fillId="0" borderId="9" xfId="2" applyNumberFormat="1" applyFont="1" applyBorder="1" applyAlignment="1">
      <alignment horizontal="center" vertical="center"/>
    </xf>
    <xf numFmtId="41" fontId="10" fillId="0" borderId="9" xfId="1" applyFont="1" applyFill="1" applyBorder="1" applyAlignment="1">
      <alignment vertical="center"/>
    </xf>
    <xf numFmtId="41" fontId="10" fillId="0" borderId="9" xfId="1" applyNumberFormat="1" applyFont="1" applyBorder="1" applyAlignment="1">
      <alignment horizontal="right" vertical="center"/>
    </xf>
    <xf numFmtId="0" fontId="4" fillId="0" borderId="10" xfId="0" applyFont="1" applyBorder="1"/>
    <xf numFmtId="3" fontId="4" fillId="0" borderId="0" xfId="0" applyNumberFormat="1" applyFont="1" applyBorder="1"/>
    <xf numFmtId="41" fontId="4" fillId="0" borderId="0" xfId="0" applyNumberFormat="1" applyFont="1" applyBorder="1"/>
    <xf numFmtId="49" fontId="4" fillId="0" borderId="9" xfId="0" applyNumberFormat="1" applyFont="1" applyFill="1" applyBorder="1" applyAlignment="1" applyProtection="1">
      <alignment horizontal="center" vertical="center" shrinkToFit="1"/>
      <protection locked="0"/>
    </xf>
    <xf numFmtId="177" fontId="4" fillId="0" borderId="10" xfId="0" applyNumberFormat="1" applyFont="1" applyFill="1" applyBorder="1" applyAlignment="1" applyProtection="1">
      <alignment vertical="center"/>
      <protection locked="0"/>
    </xf>
    <xf numFmtId="0" fontId="4" fillId="0" borderId="9" xfId="0" applyFont="1" applyBorder="1" applyAlignment="1">
      <alignment horizontal="center"/>
    </xf>
    <xf numFmtId="178" fontId="10" fillId="0" borderId="9" xfId="1" applyNumberFormat="1" applyFont="1" applyFill="1" applyBorder="1" applyAlignment="1">
      <alignment vertical="center"/>
    </xf>
    <xf numFmtId="177" fontId="4" fillId="0" borderId="5" xfId="0" applyNumberFormat="1" applyFont="1" applyFill="1" applyBorder="1" applyAlignment="1" applyProtection="1">
      <alignment vertical="center"/>
      <protection locked="0"/>
    </xf>
    <xf numFmtId="49" fontId="4" fillId="0" borderId="9" xfId="0" applyNumberFormat="1" applyFont="1" applyFill="1" applyBorder="1" applyAlignment="1" applyProtection="1">
      <alignment horizontal="center" vertical="center"/>
      <protection locked="0"/>
    </xf>
    <xf numFmtId="41" fontId="10" fillId="0" borderId="9" xfId="1" applyNumberFormat="1" applyFont="1" applyBorder="1" applyAlignment="1">
      <alignment vertical="center"/>
    </xf>
    <xf numFmtId="0" fontId="10" fillId="0" borderId="9" xfId="1" applyNumberFormat="1" applyFont="1" applyFill="1" applyBorder="1" applyAlignment="1">
      <alignment horizontal="center" vertical="center"/>
    </xf>
    <xf numFmtId="178" fontId="10" fillId="0" borderId="9" xfId="1" applyNumberFormat="1" applyFont="1" applyFill="1" applyBorder="1" applyAlignment="1">
      <alignment horizontal="center" vertical="center"/>
    </xf>
    <xf numFmtId="179" fontId="4" fillId="0" borderId="9" xfId="0" applyNumberFormat="1" applyFont="1" applyFill="1" applyBorder="1" applyAlignment="1" applyProtection="1">
      <alignment horizontal="center" vertical="center"/>
      <protection locked="0"/>
    </xf>
    <xf numFmtId="3" fontId="4" fillId="0" borderId="9" xfId="0" applyNumberFormat="1" applyFont="1" applyFill="1" applyBorder="1"/>
    <xf numFmtId="41" fontId="4" fillId="0" borderId="9" xfId="1" applyFont="1" applyFill="1" applyBorder="1" applyAlignment="1" applyProtection="1">
      <alignment vertical="center"/>
      <protection locked="0"/>
    </xf>
    <xf numFmtId="0" fontId="7" fillId="3" borderId="9" xfId="1" applyNumberFormat="1" applyFont="1" applyFill="1" applyBorder="1" applyAlignment="1">
      <alignment horizontal="center"/>
    </xf>
    <xf numFmtId="41" fontId="7" fillId="3" borderId="9" xfId="1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Border="1" applyAlignment="1">
      <alignment horizontal="center"/>
    </xf>
    <xf numFmtId="49" fontId="4" fillId="0" borderId="0" xfId="0" applyNumberFormat="1" applyFont="1" applyFill="1" applyBorder="1" applyAlignment="1" applyProtection="1">
      <alignment horizontal="left" vertical="center"/>
      <protection locked="0"/>
    </xf>
    <xf numFmtId="49" fontId="4" fillId="0" borderId="0" xfId="0" applyNumberFormat="1" applyFont="1" applyBorder="1" applyAlignment="1">
      <alignment horizontal="left"/>
    </xf>
    <xf numFmtId="0" fontId="4" fillId="0" borderId="11" xfId="0" applyFont="1" applyBorder="1"/>
    <xf numFmtId="0" fontId="4" fillId="0" borderId="12" xfId="0" applyFont="1" applyBorder="1" applyAlignment="1">
      <alignment horizontal="left"/>
    </xf>
    <xf numFmtId="0" fontId="4" fillId="0" borderId="12" xfId="0" applyFont="1" applyBorder="1"/>
    <xf numFmtId="49" fontId="4" fillId="0" borderId="12" xfId="0" applyNumberFormat="1" applyFont="1" applyBorder="1"/>
    <xf numFmtId="176" fontId="4" fillId="0" borderId="12" xfId="1" applyNumberFormat="1" applyFont="1" applyBorder="1" applyAlignment="1">
      <alignment horizontal="center"/>
    </xf>
    <xf numFmtId="176" fontId="4" fillId="0" borderId="12" xfId="1" applyNumberFormat="1" applyFont="1" applyBorder="1"/>
    <xf numFmtId="0" fontId="4" fillId="0" borderId="13" xfId="0" applyFont="1" applyBorder="1"/>
    <xf numFmtId="0" fontId="4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/>
    <xf numFmtId="176" fontId="2" fillId="0" borderId="0" xfId="1" applyNumberFormat="1" applyFont="1" applyBorder="1" applyAlignment="1">
      <alignment horizontal="center"/>
    </xf>
    <xf numFmtId="176" fontId="2" fillId="0" borderId="0" xfId="1" applyNumberFormat="1" applyFont="1" applyBorder="1"/>
    <xf numFmtId="49" fontId="7" fillId="0" borderId="9" xfId="0" applyNumberFormat="1" applyFont="1" applyFill="1" applyBorder="1" applyAlignment="1" applyProtection="1">
      <alignment horizontal="left" vertical="center"/>
      <protection locked="0"/>
    </xf>
    <xf numFmtId="49" fontId="6" fillId="0" borderId="9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9" xfId="0" applyNumberFormat="1" applyFont="1" applyFill="1" applyBorder="1" applyAlignment="1" applyProtection="1">
      <alignment horizontal="left" vertical="center"/>
      <protection locked="0"/>
    </xf>
    <xf numFmtId="49" fontId="11" fillId="0" borderId="9" xfId="0" quotePrefix="1" applyNumberFormat="1" applyFont="1" applyFill="1" applyBorder="1" applyAlignment="1" applyProtection="1">
      <alignment horizontal="left" vertical="center"/>
      <protection locked="0"/>
    </xf>
    <xf numFmtId="180" fontId="9" fillId="0" borderId="9" xfId="2" applyNumberFormat="1" applyFont="1" applyBorder="1" applyAlignment="1">
      <alignment horizontal="center" vertical="center"/>
    </xf>
    <xf numFmtId="49" fontId="7" fillId="3" borderId="9" xfId="0" applyNumberFormat="1" applyFont="1" applyFill="1" applyBorder="1" applyAlignment="1" applyProtection="1">
      <alignment horizontal="center" vertical="center"/>
      <protection locked="0"/>
    </xf>
  </cellXfs>
  <cellStyles count="3">
    <cellStyle name="=C:\WINNT\SYSTEM32\COMMAND.COM" xfId="2" xr:uid="{1B8B2067-2069-44BC-9619-800EA7443275}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1112521</xdr:colOff>
      <xdr:row>1</xdr:row>
      <xdr:rowOff>40005</xdr:rowOff>
    </xdr:from>
    <xdr:to>
      <xdr:col>4</xdr:col>
      <xdr:colOff>452988</xdr:colOff>
      <xdr:row>4</xdr:row>
      <xdr:rowOff>87433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F3E20FA-9C47-4E26-9E46-905913BF5B19}"/>
            </a:ext>
          </a:extLst>
        </xdr:cNvPr>
        <xdr:cNvSpPr txBox="1">
          <a:spLocks noChangeArrowheads="1"/>
        </xdr:cNvSpPr>
      </xdr:nvSpPr>
      <xdr:spPr bwMode="auto">
        <a:xfrm>
          <a:off x="2579371" y="249555"/>
          <a:ext cx="3598142" cy="561778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ko-KR" altLang="en-US" sz="2400" b="1" i="0" strike="noStrike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발  주  서 </a:t>
          </a:r>
        </a:p>
      </xdr:txBody>
    </xdr:sp>
    <xdr:clientData/>
  </xdr:twoCellAnchor>
  <xdr:twoCellAnchor>
    <xdr:from>
      <xdr:col>5</xdr:col>
      <xdr:colOff>28575</xdr:colOff>
      <xdr:row>6</xdr:row>
      <xdr:rowOff>0</xdr:rowOff>
    </xdr:from>
    <xdr:to>
      <xdr:col>6</xdr:col>
      <xdr:colOff>561975</xdr:colOff>
      <xdr:row>9</xdr:row>
      <xdr:rowOff>38100</xdr:rowOff>
    </xdr:to>
    <xdr:pic>
      <xdr:nvPicPr>
        <xdr:cNvPr id="3" name="Picture 3" descr="logo-hor(eng)">
          <a:extLst>
            <a:ext uri="{FF2B5EF4-FFF2-40B4-BE49-F238E27FC236}">
              <a16:creationId xmlns:a16="http://schemas.microsoft.com/office/drawing/2014/main" id="{FB30EC90-F1DC-41D5-A810-CB500AFBF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066800"/>
          <a:ext cx="14192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265381</xdr:colOff>
      <xdr:row>12</xdr:row>
      <xdr:rowOff>149908</xdr:rowOff>
    </xdr:from>
    <xdr:to>
      <xdr:col>6</xdr:col>
      <xdr:colOff>798634</xdr:colOff>
      <xdr:row>15</xdr:row>
      <xdr:rowOff>147284</xdr:rowOff>
    </xdr:to>
    <xdr:pic>
      <xdr:nvPicPr>
        <xdr:cNvPr id="4" name="Picture 6" descr="가온아이_인감2">
          <a:extLst>
            <a:ext uri="{FF2B5EF4-FFF2-40B4-BE49-F238E27FC236}">
              <a16:creationId xmlns:a16="http://schemas.microsoft.com/office/drawing/2014/main" id="{C5D2ED91-3261-4FE3-BC02-D207AFE64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accent2">
              <a:tint val="45000"/>
              <a:satMod val="400000"/>
            </a:schemeClr>
          </a:duotone>
          <a:lum bright="3000" contrast="27000"/>
        </a:blip>
        <a:srcRect l="4437" t="4411" r="6114" b="6569"/>
        <a:stretch>
          <a:fillRect/>
        </a:stretch>
      </xdr:blipFill>
      <xdr:spPr bwMode="auto">
        <a:xfrm>
          <a:off x="7447231" y="2273983"/>
          <a:ext cx="533253" cy="511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1112521</xdr:colOff>
      <xdr:row>1</xdr:row>
      <xdr:rowOff>40005</xdr:rowOff>
    </xdr:from>
    <xdr:to>
      <xdr:col>4</xdr:col>
      <xdr:colOff>452988</xdr:colOff>
      <xdr:row>4</xdr:row>
      <xdr:rowOff>87433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65853B0-3948-4392-83C5-0329A7C2BB06}"/>
            </a:ext>
          </a:extLst>
        </xdr:cNvPr>
        <xdr:cNvSpPr txBox="1">
          <a:spLocks noChangeArrowheads="1"/>
        </xdr:cNvSpPr>
      </xdr:nvSpPr>
      <xdr:spPr bwMode="auto">
        <a:xfrm>
          <a:off x="2579371" y="249555"/>
          <a:ext cx="3598142" cy="561778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ko-KR" altLang="en-US" sz="2400" b="1" i="0" strike="noStrike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발  주  서 </a:t>
          </a:r>
        </a:p>
      </xdr:txBody>
    </xdr:sp>
    <xdr:clientData/>
  </xdr:twoCellAnchor>
  <xdr:twoCellAnchor>
    <xdr:from>
      <xdr:col>5</xdr:col>
      <xdr:colOff>28575</xdr:colOff>
      <xdr:row>6</xdr:row>
      <xdr:rowOff>0</xdr:rowOff>
    </xdr:from>
    <xdr:to>
      <xdr:col>6</xdr:col>
      <xdr:colOff>561975</xdr:colOff>
      <xdr:row>9</xdr:row>
      <xdr:rowOff>38100</xdr:rowOff>
    </xdr:to>
    <xdr:pic>
      <xdr:nvPicPr>
        <xdr:cNvPr id="3" name="Picture 3" descr="logo-hor(eng)">
          <a:extLst>
            <a:ext uri="{FF2B5EF4-FFF2-40B4-BE49-F238E27FC236}">
              <a16:creationId xmlns:a16="http://schemas.microsoft.com/office/drawing/2014/main" id="{7C860A1A-875F-42BE-B3D0-502966543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066800"/>
          <a:ext cx="14192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265381</xdr:colOff>
      <xdr:row>12</xdr:row>
      <xdr:rowOff>149908</xdr:rowOff>
    </xdr:from>
    <xdr:to>
      <xdr:col>6</xdr:col>
      <xdr:colOff>798634</xdr:colOff>
      <xdr:row>15</xdr:row>
      <xdr:rowOff>147284</xdr:rowOff>
    </xdr:to>
    <xdr:pic>
      <xdr:nvPicPr>
        <xdr:cNvPr id="4" name="Picture 6" descr="가온아이_인감2">
          <a:extLst>
            <a:ext uri="{FF2B5EF4-FFF2-40B4-BE49-F238E27FC236}">
              <a16:creationId xmlns:a16="http://schemas.microsoft.com/office/drawing/2014/main" id="{4ABD4D81-FBB8-4278-898C-F2DEF0B9E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accent2">
              <a:tint val="45000"/>
              <a:satMod val="400000"/>
            </a:schemeClr>
          </a:duotone>
          <a:lum bright="3000" contrast="27000"/>
        </a:blip>
        <a:srcRect l="4437" t="4411" r="6114" b="6569"/>
        <a:stretch>
          <a:fillRect/>
        </a:stretch>
      </xdr:blipFill>
      <xdr:spPr bwMode="auto">
        <a:xfrm>
          <a:off x="7447231" y="2273983"/>
          <a:ext cx="533253" cy="511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8356-97F0-4B62-B15B-6BD494F19CD3}">
  <sheetPr>
    <pageSetUpPr fitToPage="1"/>
  </sheetPr>
  <dimension ref="A1:L44"/>
  <sheetViews>
    <sheetView tabSelected="1" zoomScale="130" zoomScaleNormal="130" workbookViewId="0">
      <selection activeCell="C7" sqref="C7"/>
    </sheetView>
  </sheetViews>
  <sheetFormatPr defaultRowHeight="16.5"/>
  <cols>
    <col min="1" max="1" width="1.77734375" style="63" customWidth="1"/>
    <col min="2" max="2" width="3.33203125" style="64" customWidth="1"/>
    <col min="3" max="3" width="12" style="63" customWidth="1"/>
    <col min="4" max="4" width="49.6640625" style="65" customWidth="1"/>
    <col min="5" max="5" width="6.6640625" style="66" bestFit="1" customWidth="1"/>
    <col min="6" max="7" width="10.33203125" style="67" customWidth="1"/>
    <col min="8" max="8" width="1.88671875" style="8" customWidth="1"/>
    <col min="9" max="256" width="8.88671875" style="8"/>
    <col min="257" max="257" width="1.77734375" style="8" customWidth="1"/>
    <col min="258" max="258" width="3.33203125" style="8" customWidth="1"/>
    <col min="259" max="259" width="12" style="8" customWidth="1"/>
    <col min="260" max="260" width="49.6640625" style="8" customWidth="1"/>
    <col min="261" max="261" width="6.6640625" style="8" bestFit="1" customWidth="1"/>
    <col min="262" max="263" width="10.33203125" style="8" customWidth="1"/>
    <col min="264" max="264" width="1.88671875" style="8" customWidth="1"/>
    <col min="265" max="512" width="8.88671875" style="8"/>
    <col min="513" max="513" width="1.77734375" style="8" customWidth="1"/>
    <col min="514" max="514" width="3.33203125" style="8" customWidth="1"/>
    <col min="515" max="515" width="12" style="8" customWidth="1"/>
    <col min="516" max="516" width="49.6640625" style="8" customWidth="1"/>
    <col min="517" max="517" width="6.6640625" style="8" bestFit="1" customWidth="1"/>
    <col min="518" max="519" width="10.33203125" style="8" customWidth="1"/>
    <col min="520" max="520" width="1.88671875" style="8" customWidth="1"/>
    <col min="521" max="768" width="8.88671875" style="8"/>
    <col min="769" max="769" width="1.77734375" style="8" customWidth="1"/>
    <col min="770" max="770" width="3.33203125" style="8" customWidth="1"/>
    <col min="771" max="771" width="12" style="8" customWidth="1"/>
    <col min="772" max="772" width="49.6640625" style="8" customWidth="1"/>
    <col min="773" max="773" width="6.6640625" style="8" bestFit="1" customWidth="1"/>
    <col min="774" max="775" width="10.33203125" style="8" customWidth="1"/>
    <col min="776" max="776" width="1.88671875" style="8" customWidth="1"/>
    <col min="777" max="1024" width="8.88671875" style="8"/>
    <col min="1025" max="1025" width="1.77734375" style="8" customWidth="1"/>
    <col min="1026" max="1026" width="3.33203125" style="8" customWidth="1"/>
    <col min="1027" max="1027" width="12" style="8" customWidth="1"/>
    <col min="1028" max="1028" width="49.6640625" style="8" customWidth="1"/>
    <col min="1029" max="1029" width="6.6640625" style="8" bestFit="1" customWidth="1"/>
    <col min="1030" max="1031" width="10.33203125" style="8" customWidth="1"/>
    <col min="1032" max="1032" width="1.88671875" style="8" customWidth="1"/>
    <col min="1033" max="1280" width="8.88671875" style="8"/>
    <col min="1281" max="1281" width="1.77734375" style="8" customWidth="1"/>
    <col min="1282" max="1282" width="3.33203125" style="8" customWidth="1"/>
    <col min="1283" max="1283" width="12" style="8" customWidth="1"/>
    <col min="1284" max="1284" width="49.6640625" style="8" customWidth="1"/>
    <col min="1285" max="1285" width="6.6640625" style="8" bestFit="1" customWidth="1"/>
    <col min="1286" max="1287" width="10.33203125" style="8" customWidth="1"/>
    <col min="1288" max="1288" width="1.88671875" style="8" customWidth="1"/>
    <col min="1289" max="1536" width="8.88671875" style="8"/>
    <col min="1537" max="1537" width="1.77734375" style="8" customWidth="1"/>
    <col min="1538" max="1538" width="3.33203125" style="8" customWidth="1"/>
    <col min="1539" max="1539" width="12" style="8" customWidth="1"/>
    <col min="1540" max="1540" width="49.6640625" style="8" customWidth="1"/>
    <col min="1541" max="1541" width="6.6640625" style="8" bestFit="1" customWidth="1"/>
    <col min="1542" max="1543" width="10.33203125" style="8" customWidth="1"/>
    <col min="1544" max="1544" width="1.88671875" style="8" customWidth="1"/>
    <col min="1545" max="1792" width="8.88671875" style="8"/>
    <col min="1793" max="1793" width="1.77734375" style="8" customWidth="1"/>
    <col min="1794" max="1794" width="3.33203125" style="8" customWidth="1"/>
    <col min="1795" max="1795" width="12" style="8" customWidth="1"/>
    <col min="1796" max="1796" width="49.6640625" style="8" customWidth="1"/>
    <col min="1797" max="1797" width="6.6640625" style="8" bestFit="1" customWidth="1"/>
    <col min="1798" max="1799" width="10.33203125" style="8" customWidth="1"/>
    <col min="1800" max="1800" width="1.88671875" style="8" customWidth="1"/>
    <col min="1801" max="2048" width="8.88671875" style="8"/>
    <col min="2049" max="2049" width="1.77734375" style="8" customWidth="1"/>
    <col min="2050" max="2050" width="3.33203125" style="8" customWidth="1"/>
    <col min="2051" max="2051" width="12" style="8" customWidth="1"/>
    <col min="2052" max="2052" width="49.6640625" style="8" customWidth="1"/>
    <col min="2053" max="2053" width="6.6640625" style="8" bestFit="1" customWidth="1"/>
    <col min="2054" max="2055" width="10.33203125" style="8" customWidth="1"/>
    <col min="2056" max="2056" width="1.88671875" style="8" customWidth="1"/>
    <col min="2057" max="2304" width="8.88671875" style="8"/>
    <col min="2305" max="2305" width="1.77734375" style="8" customWidth="1"/>
    <col min="2306" max="2306" width="3.33203125" style="8" customWidth="1"/>
    <col min="2307" max="2307" width="12" style="8" customWidth="1"/>
    <col min="2308" max="2308" width="49.6640625" style="8" customWidth="1"/>
    <col min="2309" max="2309" width="6.6640625" style="8" bestFit="1" customWidth="1"/>
    <col min="2310" max="2311" width="10.33203125" style="8" customWidth="1"/>
    <col min="2312" max="2312" width="1.88671875" style="8" customWidth="1"/>
    <col min="2313" max="2560" width="8.88671875" style="8"/>
    <col min="2561" max="2561" width="1.77734375" style="8" customWidth="1"/>
    <col min="2562" max="2562" width="3.33203125" style="8" customWidth="1"/>
    <col min="2563" max="2563" width="12" style="8" customWidth="1"/>
    <col min="2564" max="2564" width="49.6640625" style="8" customWidth="1"/>
    <col min="2565" max="2565" width="6.6640625" style="8" bestFit="1" customWidth="1"/>
    <col min="2566" max="2567" width="10.33203125" style="8" customWidth="1"/>
    <col min="2568" max="2568" width="1.88671875" style="8" customWidth="1"/>
    <col min="2569" max="2816" width="8.88671875" style="8"/>
    <col min="2817" max="2817" width="1.77734375" style="8" customWidth="1"/>
    <col min="2818" max="2818" width="3.33203125" style="8" customWidth="1"/>
    <col min="2819" max="2819" width="12" style="8" customWidth="1"/>
    <col min="2820" max="2820" width="49.6640625" style="8" customWidth="1"/>
    <col min="2821" max="2821" width="6.6640625" style="8" bestFit="1" customWidth="1"/>
    <col min="2822" max="2823" width="10.33203125" style="8" customWidth="1"/>
    <col min="2824" max="2824" width="1.88671875" style="8" customWidth="1"/>
    <col min="2825" max="3072" width="8.88671875" style="8"/>
    <col min="3073" max="3073" width="1.77734375" style="8" customWidth="1"/>
    <col min="3074" max="3074" width="3.33203125" style="8" customWidth="1"/>
    <col min="3075" max="3075" width="12" style="8" customWidth="1"/>
    <col min="3076" max="3076" width="49.6640625" style="8" customWidth="1"/>
    <col min="3077" max="3077" width="6.6640625" style="8" bestFit="1" customWidth="1"/>
    <col min="3078" max="3079" width="10.33203125" style="8" customWidth="1"/>
    <col min="3080" max="3080" width="1.88671875" style="8" customWidth="1"/>
    <col min="3081" max="3328" width="8.88671875" style="8"/>
    <col min="3329" max="3329" width="1.77734375" style="8" customWidth="1"/>
    <col min="3330" max="3330" width="3.33203125" style="8" customWidth="1"/>
    <col min="3331" max="3331" width="12" style="8" customWidth="1"/>
    <col min="3332" max="3332" width="49.6640625" style="8" customWidth="1"/>
    <col min="3333" max="3333" width="6.6640625" style="8" bestFit="1" customWidth="1"/>
    <col min="3334" max="3335" width="10.33203125" style="8" customWidth="1"/>
    <col min="3336" max="3336" width="1.88671875" style="8" customWidth="1"/>
    <col min="3337" max="3584" width="8.88671875" style="8"/>
    <col min="3585" max="3585" width="1.77734375" style="8" customWidth="1"/>
    <col min="3586" max="3586" width="3.33203125" style="8" customWidth="1"/>
    <col min="3587" max="3587" width="12" style="8" customWidth="1"/>
    <col min="3588" max="3588" width="49.6640625" style="8" customWidth="1"/>
    <col min="3589" max="3589" width="6.6640625" style="8" bestFit="1" customWidth="1"/>
    <col min="3590" max="3591" width="10.33203125" style="8" customWidth="1"/>
    <col min="3592" max="3592" width="1.88671875" style="8" customWidth="1"/>
    <col min="3593" max="3840" width="8.88671875" style="8"/>
    <col min="3841" max="3841" width="1.77734375" style="8" customWidth="1"/>
    <col min="3842" max="3842" width="3.33203125" style="8" customWidth="1"/>
    <col min="3843" max="3843" width="12" style="8" customWidth="1"/>
    <col min="3844" max="3844" width="49.6640625" style="8" customWidth="1"/>
    <col min="3845" max="3845" width="6.6640625" style="8" bestFit="1" customWidth="1"/>
    <col min="3846" max="3847" width="10.33203125" style="8" customWidth="1"/>
    <col min="3848" max="3848" width="1.88671875" style="8" customWidth="1"/>
    <col min="3849" max="4096" width="8.88671875" style="8"/>
    <col min="4097" max="4097" width="1.77734375" style="8" customWidth="1"/>
    <col min="4098" max="4098" width="3.33203125" style="8" customWidth="1"/>
    <col min="4099" max="4099" width="12" style="8" customWidth="1"/>
    <col min="4100" max="4100" width="49.6640625" style="8" customWidth="1"/>
    <col min="4101" max="4101" width="6.6640625" style="8" bestFit="1" customWidth="1"/>
    <col min="4102" max="4103" width="10.33203125" style="8" customWidth="1"/>
    <col min="4104" max="4104" width="1.88671875" style="8" customWidth="1"/>
    <col min="4105" max="4352" width="8.88671875" style="8"/>
    <col min="4353" max="4353" width="1.77734375" style="8" customWidth="1"/>
    <col min="4354" max="4354" width="3.33203125" style="8" customWidth="1"/>
    <col min="4355" max="4355" width="12" style="8" customWidth="1"/>
    <col min="4356" max="4356" width="49.6640625" style="8" customWidth="1"/>
    <col min="4357" max="4357" width="6.6640625" style="8" bestFit="1" customWidth="1"/>
    <col min="4358" max="4359" width="10.33203125" style="8" customWidth="1"/>
    <col min="4360" max="4360" width="1.88671875" style="8" customWidth="1"/>
    <col min="4361" max="4608" width="8.88671875" style="8"/>
    <col min="4609" max="4609" width="1.77734375" style="8" customWidth="1"/>
    <col min="4610" max="4610" width="3.33203125" style="8" customWidth="1"/>
    <col min="4611" max="4611" width="12" style="8" customWidth="1"/>
    <col min="4612" max="4612" width="49.6640625" style="8" customWidth="1"/>
    <col min="4613" max="4613" width="6.6640625" style="8" bestFit="1" customWidth="1"/>
    <col min="4614" max="4615" width="10.33203125" style="8" customWidth="1"/>
    <col min="4616" max="4616" width="1.88671875" style="8" customWidth="1"/>
    <col min="4617" max="4864" width="8.88671875" style="8"/>
    <col min="4865" max="4865" width="1.77734375" style="8" customWidth="1"/>
    <col min="4866" max="4866" width="3.33203125" style="8" customWidth="1"/>
    <col min="4867" max="4867" width="12" style="8" customWidth="1"/>
    <col min="4868" max="4868" width="49.6640625" style="8" customWidth="1"/>
    <col min="4869" max="4869" width="6.6640625" style="8" bestFit="1" customWidth="1"/>
    <col min="4870" max="4871" width="10.33203125" style="8" customWidth="1"/>
    <col min="4872" max="4872" width="1.88671875" style="8" customWidth="1"/>
    <col min="4873" max="5120" width="8.88671875" style="8"/>
    <col min="5121" max="5121" width="1.77734375" style="8" customWidth="1"/>
    <col min="5122" max="5122" width="3.33203125" style="8" customWidth="1"/>
    <col min="5123" max="5123" width="12" style="8" customWidth="1"/>
    <col min="5124" max="5124" width="49.6640625" style="8" customWidth="1"/>
    <col min="5125" max="5125" width="6.6640625" style="8" bestFit="1" customWidth="1"/>
    <col min="5126" max="5127" width="10.33203125" style="8" customWidth="1"/>
    <col min="5128" max="5128" width="1.88671875" style="8" customWidth="1"/>
    <col min="5129" max="5376" width="8.88671875" style="8"/>
    <col min="5377" max="5377" width="1.77734375" style="8" customWidth="1"/>
    <col min="5378" max="5378" width="3.33203125" style="8" customWidth="1"/>
    <col min="5379" max="5379" width="12" style="8" customWidth="1"/>
    <col min="5380" max="5380" width="49.6640625" style="8" customWidth="1"/>
    <col min="5381" max="5381" width="6.6640625" style="8" bestFit="1" customWidth="1"/>
    <col min="5382" max="5383" width="10.33203125" style="8" customWidth="1"/>
    <col min="5384" max="5384" width="1.88671875" style="8" customWidth="1"/>
    <col min="5385" max="5632" width="8.88671875" style="8"/>
    <col min="5633" max="5633" width="1.77734375" style="8" customWidth="1"/>
    <col min="5634" max="5634" width="3.33203125" style="8" customWidth="1"/>
    <col min="5635" max="5635" width="12" style="8" customWidth="1"/>
    <col min="5636" max="5636" width="49.6640625" style="8" customWidth="1"/>
    <col min="5637" max="5637" width="6.6640625" style="8" bestFit="1" customWidth="1"/>
    <col min="5638" max="5639" width="10.33203125" style="8" customWidth="1"/>
    <col min="5640" max="5640" width="1.88671875" style="8" customWidth="1"/>
    <col min="5641" max="5888" width="8.88671875" style="8"/>
    <col min="5889" max="5889" width="1.77734375" style="8" customWidth="1"/>
    <col min="5890" max="5890" width="3.33203125" style="8" customWidth="1"/>
    <col min="5891" max="5891" width="12" style="8" customWidth="1"/>
    <col min="5892" max="5892" width="49.6640625" style="8" customWidth="1"/>
    <col min="5893" max="5893" width="6.6640625" style="8" bestFit="1" customWidth="1"/>
    <col min="5894" max="5895" width="10.33203125" style="8" customWidth="1"/>
    <col min="5896" max="5896" width="1.88671875" style="8" customWidth="1"/>
    <col min="5897" max="6144" width="8.88671875" style="8"/>
    <col min="6145" max="6145" width="1.77734375" style="8" customWidth="1"/>
    <col min="6146" max="6146" width="3.33203125" style="8" customWidth="1"/>
    <col min="6147" max="6147" width="12" style="8" customWidth="1"/>
    <col min="6148" max="6148" width="49.6640625" style="8" customWidth="1"/>
    <col min="6149" max="6149" width="6.6640625" style="8" bestFit="1" customWidth="1"/>
    <col min="6150" max="6151" width="10.33203125" style="8" customWidth="1"/>
    <col min="6152" max="6152" width="1.88671875" style="8" customWidth="1"/>
    <col min="6153" max="6400" width="8.88671875" style="8"/>
    <col min="6401" max="6401" width="1.77734375" style="8" customWidth="1"/>
    <col min="6402" max="6402" width="3.33203125" style="8" customWidth="1"/>
    <col min="6403" max="6403" width="12" style="8" customWidth="1"/>
    <col min="6404" max="6404" width="49.6640625" style="8" customWidth="1"/>
    <col min="6405" max="6405" width="6.6640625" style="8" bestFit="1" customWidth="1"/>
    <col min="6406" max="6407" width="10.33203125" style="8" customWidth="1"/>
    <col min="6408" max="6408" width="1.88671875" style="8" customWidth="1"/>
    <col min="6409" max="6656" width="8.88671875" style="8"/>
    <col min="6657" max="6657" width="1.77734375" style="8" customWidth="1"/>
    <col min="6658" max="6658" width="3.33203125" style="8" customWidth="1"/>
    <col min="6659" max="6659" width="12" style="8" customWidth="1"/>
    <col min="6660" max="6660" width="49.6640625" style="8" customWidth="1"/>
    <col min="6661" max="6661" width="6.6640625" style="8" bestFit="1" customWidth="1"/>
    <col min="6662" max="6663" width="10.33203125" style="8" customWidth="1"/>
    <col min="6664" max="6664" width="1.88671875" style="8" customWidth="1"/>
    <col min="6665" max="6912" width="8.88671875" style="8"/>
    <col min="6913" max="6913" width="1.77734375" style="8" customWidth="1"/>
    <col min="6914" max="6914" width="3.33203125" style="8" customWidth="1"/>
    <col min="6915" max="6915" width="12" style="8" customWidth="1"/>
    <col min="6916" max="6916" width="49.6640625" style="8" customWidth="1"/>
    <col min="6917" max="6917" width="6.6640625" style="8" bestFit="1" customWidth="1"/>
    <col min="6918" max="6919" width="10.33203125" style="8" customWidth="1"/>
    <col min="6920" max="6920" width="1.88671875" style="8" customWidth="1"/>
    <col min="6921" max="7168" width="8.88671875" style="8"/>
    <col min="7169" max="7169" width="1.77734375" style="8" customWidth="1"/>
    <col min="7170" max="7170" width="3.33203125" style="8" customWidth="1"/>
    <col min="7171" max="7171" width="12" style="8" customWidth="1"/>
    <col min="7172" max="7172" width="49.6640625" style="8" customWidth="1"/>
    <col min="7173" max="7173" width="6.6640625" style="8" bestFit="1" customWidth="1"/>
    <col min="7174" max="7175" width="10.33203125" style="8" customWidth="1"/>
    <col min="7176" max="7176" width="1.88671875" style="8" customWidth="1"/>
    <col min="7177" max="7424" width="8.88671875" style="8"/>
    <col min="7425" max="7425" width="1.77734375" style="8" customWidth="1"/>
    <col min="7426" max="7426" width="3.33203125" style="8" customWidth="1"/>
    <col min="7427" max="7427" width="12" style="8" customWidth="1"/>
    <col min="7428" max="7428" width="49.6640625" style="8" customWidth="1"/>
    <col min="7429" max="7429" width="6.6640625" style="8" bestFit="1" customWidth="1"/>
    <col min="7430" max="7431" width="10.33203125" style="8" customWidth="1"/>
    <col min="7432" max="7432" width="1.88671875" style="8" customWidth="1"/>
    <col min="7433" max="7680" width="8.88671875" style="8"/>
    <col min="7681" max="7681" width="1.77734375" style="8" customWidth="1"/>
    <col min="7682" max="7682" width="3.33203125" style="8" customWidth="1"/>
    <col min="7683" max="7683" width="12" style="8" customWidth="1"/>
    <col min="7684" max="7684" width="49.6640625" style="8" customWidth="1"/>
    <col min="7685" max="7685" width="6.6640625" style="8" bestFit="1" customWidth="1"/>
    <col min="7686" max="7687" width="10.33203125" style="8" customWidth="1"/>
    <col min="7688" max="7688" width="1.88671875" style="8" customWidth="1"/>
    <col min="7689" max="7936" width="8.88671875" style="8"/>
    <col min="7937" max="7937" width="1.77734375" style="8" customWidth="1"/>
    <col min="7938" max="7938" width="3.33203125" style="8" customWidth="1"/>
    <col min="7939" max="7939" width="12" style="8" customWidth="1"/>
    <col min="7940" max="7940" width="49.6640625" style="8" customWidth="1"/>
    <col min="7941" max="7941" width="6.6640625" style="8" bestFit="1" customWidth="1"/>
    <col min="7942" max="7943" width="10.33203125" style="8" customWidth="1"/>
    <col min="7944" max="7944" width="1.88671875" style="8" customWidth="1"/>
    <col min="7945" max="8192" width="8.88671875" style="8"/>
    <col min="8193" max="8193" width="1.77734375" style="8" customWidth="1"/>
    <col min="8194" max="8194" width="3.33203125" style="8" customWidth="1"/>
    <col min="8195" max="8195" width="12" style="8" customWidth="1"/>
    <col min="8196" max="8196" width="49.6640625" style="8" customWidth="1"/>
    <col min="8197" max="8197" width="6.6640625" style="8" bestFit="1" customWidth="1"/>
    <col min="8198" max="8199" width="10.33203125" style="8" customWidth="1"/>
    <col min="8200" max="8200" width="1.88671875" style="8" customWidth="1"/>
    <col min="8201" max="8448" width="8.88671875" style="8"/>
    <col min="8449" max="8449" width="1.77734375" style="8" customWidth="1"/>
    <col min="8450" max="8450" width="3.33203125" style="8" customWidth="1"/>
    <col min="8451" max="8451" width="12" style="8" customWidth="1"/>
    <col min="8452" max="8452" width="49.6640625" style="8" customWidth="1"/>
    <col min="8453" max="8453" width="6.6640625" style="8" bestFit="1" customWidth="1"/>
    <col min="8454" max="8455" width="10.33203125" style="8" customWidth="1"/>
    <col min="8456" max="8456" width="1.88671875" style="8" customWidth="1"/>
    <col min="8457" max="8704" width="8.88671875" style="8"/>
    <col min="8705" max="8705" width="1.77734375" style="8" customWidth="1"/>
    <col min="8706" max="8706" width="3.33203125" style="8" customWidth="1"/>
    <col min="8707" max="8707" width="12" style="8" customWidth="1"/>
    <col min="8708" max="8708" width="49.6640625" style="8" customWidth="1"/>
    <col min="8709" max="8709" width="6.6640625" style="8" bestFit="1" customWidth="1"/>
    <col min="8710" max="8711" width="10.33203125" style="8" customWidth="1"/>
    <col min="8712" max="8712" width="1.88671875" style="8" customWidth="1"/>
    <col min="8713" max="8960" width="8.88671875" style="8"/>
    <col min="8961" max="8961" width="1.77734375" style="8" customWidth="1"/>
    <col min="8962" max="8962" width="3.33203125" style="8" customWidth="1"/>
    <col min="8963" max="8963" width="12" style="8" customWidth="1"/>
    <col min="8964" max="8964" width="49.6640625" style="8" customWidth="1"/>
    <col min="8965" max="8965" width="6.6640625" style="8" bestFit="1" customWidth="1"/>
    <col min="8966" max="8967" width="10.33203125" style="8" customWidth="1"/>
    <col min="8968" max="8968" width="1.88671875" style="8" customWidth="1"/>
    <col min="8969" max="9216" width="8.88671875" style="8"/>
    <col min="9217" max="9217" width="1.77734375" style="8" customWidth="1"/>
    <col min="9218" max="9218" width="3.33203125" style="8" customWidth="1"/>
    <col min="9219" max="9219" width="12" style="8" customWidth="1"/>
    <col min="9220" max="9220" width="49.6640625" style="8" customWidth="1"/>
    <col min="9221" max="9221" width="6.6640625" style="8" bestFit="1" customWidth="1"/>
    <col min="9222" max="9223" width="10.33203125" style="8" customWidth="1"/>
    <col min="9224" max="9224" width="1.88671875" style="8" customWidth="1"/>
    <col min="9225" max="9472" width="8.88671875" style="8"/>
    <col min="9473" max="9473" width="1.77734375" style="8" customWidth="1"/>
    <col min="9474" max="9474" width="3.33203125" style="8" customWidth="1"/>
    <col min="9475" max="9475" width="12" style="8" customWidth="1"/>
    <col min="9476" max="9476" width="49.6640625" style="8" customWidth="1"/>
    <col min="9477" max="9477" width="6.6640625" style="8" bestFit="1" customWidth="1"/>
    <col min="9478" max="9479" width="10.33203125" style="8" customWidth="1"/>
    <col min="9480" max="9480" width="1.88671875" style="8" customWidth="1"/>
    <col min="9481" max="9728" width="8.88671875" style="8"/>
    <col min="9729" max="9729" width="1.77734375" style="8" customWidth="1"/>
    <col min="9730" max="9730" width="3.33203125" style="8" customWidth="1"/>
    <col min="9731" max="9731" width="12" style="8" customWidth="1"/>
    <col min="9732" max="9732" width="49.6640625" style="8" customWidth="1"/>
    <col min="9733" max="9733" width="6.6640625" style="8" bestFit="1" customWidth="1"/>
    <col min="9734" max="9735" width="10.33203125" style="8" customWidth="1"/>
    <col min="9736" max="9736" width="1.88671875" style="8" customWidth="1"/>
    <col min="9737" max="9984" width="8.88671875" style="8"/>
    <col min="9985" max="9985" width="1.77734375" style="8" customWidth="1"/>
    <col min="9986" max="9986" width="3.33203125" style="8" customWidth="1"/>
    <col min="9987" max="9987" width="12" style="8" customWidth="1"/>
    <col min="9988" max="9988" width="49.6640625" style="8" customWidth="1"/>
    <col min="9989" max="9989" width="6.6640625" style="8" bestFit="1" customWidth="1"/>
    <col min="9990" max="9991" width="10.33203125" style="8" customWidth="1"/>
    <col min="9992" max="9992" width="1.88671875" style="8" customWidth="1"/>
    <col min="9993" max="10240" width="8.88671875" style="8"/>
    <col min="10241" max="10241" width="1.77734375" style="8" customWidth="1"/>
    <col min="10242" max="10242" width="3.33203125" style="8" customWidth="1"/>
    <col min="10243" max="10243" width="12" style="8" customWidth="1"/>
    <col min="10244" max="10244" width="49.6640625" style="8" customWidth="1"/>
    <col min="10245" max="10245" width="6.6640625" style="8" bestFit="1" customWidth="1"/>
    <col min="10246" max="10247" width="10.33203125" style="8" customWidth="1"/>
    <col min="10248" max="10248" width="1.88671875" style="8" customWidth="1"/>
    <col min="10249" max="10496" width="8.88671875" style="8"/>
    <col min="10497" max="10497" width="1.77734375" style="8" customWidth="1"/>
    <col min="10498" max="10498" width="3.33203125" style="8" customWidth="1"/>
    <col min="10499" max="10499" width="12" style="8" customWidth="1"/>
    <col min="10500" max="10500" width="49.6640625" style="8" customWidth="1"/>
    <col min="10501" max="10501" width="6.6640625" style="8" bestFit="1" customWidth="1"/>
    <col min="10502" max="10503" width="10.33203125" style="8" customWidth="1"/>
    <col min="10504" max="10504" width="1.88671875" style="8" customWidth="1"/>
    <col min="10505" max="10752" width="8.88671875" style="8"/>
    <col min="10753" max="10753" width="1.77734375" style="8" customWidth="1"/>
    <col min="10754" max="10754" width="3.33203125" style="8" customWidth="1"/>
    <col min="10755" max="10755" width="12" style="8" customWidth="1"/>
    <col min="10756" max="10756" width="49.6640625" style="8" customWidth="1"/>
    <col min="10757" max="10757" width="6.6640625" style="8" bestFit="1" customWidth="1"/>
    <col min="10758" max="10759" width="10.33203125" style="8" customWidth="1"/>
    <col min="10760" max="10760" width="1.88671875" style="8" customWidth="1"/>
    <col min="10761" max="11008" width="8.88671875" style="8"/>
    <col min="11009" max="11009" width="1.77734375" style="8" customWidth="1"/>
    <col min="11010" max="11010" width="3.33203125" style="8" customWidth="1"/>
    <col min="11011" max="11011" width="12" style="8" customWidth="1"/>
    <col min="11012" max="11012" width="49.6640625" style="8" customWidth="1"/>
    <col min="11013" max="11013" width="6.6640625" style="8" bestFit="1" customWidth="1"/>
    <col min="11014" max="11015" width="10.33203125" style="8" customWidth="1"/>
    <col min="11016" max="11016" width="1.88671875" style="8" customWidth="1"/>
    <col min="11017" max="11264" width="8.88671875" style="8"/>
    <col min="11265" max="11265" width="1.77734375" style="8" customWidth="1"/>
    <col min="11266" max="11266" width="3.33203125" style="8" customWidth="1"/>
    <col min="11267" max="11267" width="12" style="8" customWidth="1"/>
    <col min="11268" max="11268" width="49.6640625" style="8" customWidth="1"/>
    <col min="11269" max="11269" width="6.6640625" style="8" bestFit="1" customWidth="1"/>
    <col min="11270" max="11271" width="10.33203125" style="8" customWidth="1"/>
    <col min="11272" max="11272" width="1.88671875" style="8" customWidth="1"/>
    <col min="11273" max="11520" width="8.88671875" style="8"/>
    <col min="11521" max="11521" width="1.77734375" style="8" customWidth="1"/>
    <col min="11522" max="11522" width="3.33203125" style="8" customWidth="1"/>
    <col min="11523" max="11523" width="12" style="8" customWidth="1"/>
    <col min="11524" max="11524" width="49.6640625" style="8" customWidth="1"/>
    <col min="11525" max="11525" width="6.6640625" style="8" bestFit="1" customWidth="1"/>
    <col min="11526" max="11527" width="10.33203125" style="8" customWidth="1"/>
    <col min="11528" max="11528" width="1.88671875" style="8" customWidth="1"/>
    <col min="11529" max="11776" width="8.88671875" style="8"/>
    <col min="11777" max="11777" width="1.77734375" style="8" customWidth="1"/>
    <col min="11778" max="11778" width="3.33203125" style="8" customWidth="1"/>
    <col min="11779" max="11779" width="12" style="8" customWidth="1"/>
    <col min="11780" max="11780" width="49.6640625" style="8" customWidth="1"/>
    <col min="11781" max="11781" width="6.6640625" style="8" bestFit="1" customWidth="1"/>
    <col min="11782" max="11783" width="10.33203125" style="8" customWidth="1"/>
    <col min="11784" max="11784" width="1.88671875" style="8" customWidth="1"/>
    <col min="11785" max="12032" width="8.88671875" style="8"/>
    <col min="12033" max="12033" width="1.77734375" style="8" customWidth="1"/>
    <col min="12034" max="12034" width="3.33203125" style="8" customWidth="1"/>
    <col min="12035" max="12035" width="12" style="8" customWidth="1"/>
    <col min="12036" max="12036" width="49.6640625" style="8" customWidth="1"/>
    <col min="12037" max="12037" width="6.6640625" style="8" bestFit="1" customWidth="1"/>
    <col min="12038" max="12039" width="10.33203125" style="8" customWidth="1"/>
    <col min="12040" max="12040" width="1.88671875" style="8" customWidth="1"/>
    <col min="12041" max="12288" width="8.88671875" style="8"/>
    <col min="12289" max="12289" width="1.77734375" style="8" customWidth="1"/>
    <col min="12290" max="12290" width="3.33203125" style="8" customWidth="1"/>
    <col min="12291" max="12291" width="12" style="8" customWidth="1"/>
    <col min="12292" max="12292" width="49.6640625" style="8" customWidth="1"/>
    <col min="12293" max="12293" width="6.6640625" style="8" bestFit="1" customWidth="1"/>
    <col min="12294" max="12295" width="10.33203125" style="8" customWidth="1"/>
    <col min="12296" max="12296" width="1.88671875" style="8" customWidth="1"/>
    <col min="12297" max="12544" width="8.88671875" style="8"/>
    <col min="12545" max="12545" width="1.77734375" style="8" customWidth="1"/>
    <col min="12546" max="12546" width="3.33203125" style="8" customWidth="1"/>
    <col min="12547" max="12547" width="12" style="8" customWidth="1"/>
    <col min="12548" max="12548" width="49.6640625" style="8" customWidth="1"/>
    <col min="12549" max="12549" width="6.6640625" style="8" bestFit="1" customWidth="1"/>
    <col min="12550" max="12551" width="10.33203125" style="8" customWidth="1"/>
    <col min="12552" max="12552" width="1.88671875" style="8" customWidth="1"/>
    <col min="12553" max="12800" width="8.88671875" style="8"/>
    <col min="12801" max="12801" width="1.77734375" style="8" customWidth="1"/>
    <col min="12802" max="12802" width="3.33203125" style="8" customWidth="1"/>
    <col min="12803" max="12803" width="12" style="8" customWidth="1"/>
    <col min="12804" max="12804" width="49.6640625" style="8" customWidth="1"/>
    <col min="12805" max="12805" width="6.6640625" style="8" bestFit="1" customWidth="1"/>
    <col min="12806" max="12807" width="10.33203125" style="8" customWidth="1"/>
    <col min="12808" max="12808" width="1.88671875" style="8" customWidth="1"/>
    <col min="12809" max="13056" width="8.88671875" style="8"/>
    <col min="13057" max="13057" width="1.77734375" style="8" customWidth="1"/>
    <col min="13058" max="13058" width="3.33203125" style="8" customWidth="1"/>
    <col min="13059" max="13059" width="12" style="8" customWidth="1"/>
    <col min="13060" max="13060" width="49.6640625" style="8" customWidth="1"/>
    <col min="13061" max="13061" width="6.6640625" style="8" bestFit="1" customWidth="1"/>
    <col min="13062" max="13063" width="10.33203125" style="8" customWidth="1"/>
    <col min="13064" max="13064" width="1.88671875" style="8" customWidth="1"/>
    <col min="13065" max="13312" width="8.88671875" style="8"/>
    <col min="13313" max="13313" width="1.77734375" style="8" customWidth="1"/>
    <col min="13314" max="13314" width="3.33203125" style="8" customWidth="1"/>
    <col min="13315" max="13315" width="12" style="8" customWidth="1"/>
    <col min="13316" max="13316" width="49.6640625" style="8" customWidth="1"/>
    <col min="13317" max="13317" width="6.6640625" style="8" bestFit="1" customWidth="1"/>
    <col min="13318" max="13319" width="10.33203125" style="8" customWidth="1"/>
    <col min="13320" max="13320" width="1.88671875" style="8" customWidth="1"/>
    <col min="13321" max="13568" width="8.88671875" style="8"/>
    <col min="13569" max="13569" width="1.77734375" style="8" customWidth="1"/>
    <col min="13570" max="13570" width="3.33203125" style="8" customWidth="1"/>
    <col min="13571" max="13571" width="12" style="8" customWidth="1"/>
    <col min="13572" max="13572" width="49.6640625" style="8" customWidth="1"/>
    <col min="13573" max="13573" width="6.6640625" style="8" bestFit="1" customWidth="1"/>
    <col min="13574" max="13575" width="10.33203125" style="8" customWidth="1"/>
    <col min="13576" max="13576" width="1.88671875" style="8" customWidth="1"/>
    <col min="13577" max="13824" width="8.88671875" style="8"/>
    <col min="13825" max="13825" width="1.77734375" style="8" customWidth="1"/>
    <col min="13826" max="13826" width="3.33203125" style="8" customWidth="1"/>
    <col min="13827" max="13827" width="12" style="8" customWidth="1"/>
    <col min="13828" max="13828" width="49.6640625" style="8" customWidth="1"/>
    <col min="13829" max="13829" width="6.6640625" style="8" bestFit="1" customWidth="1"/>
    <col min="13830" max="13831" width="10.33203125" style="8" customWidth="1"/>
    <col min="13832" max="13832" width="1.88671875" style="8" customWidth="1"/>
    <col min="13833" max="14080" width="8.88671875" style="8"/>
    <col min="14081" max="14081" width="1.77734375" style="8" customWidth="1"/>
    <col min="14082" max="14082" width="3.33203125" style="8" customWidth="1"/>
    <col min="14083" max="14083" width="12" style="8" customWidth="1"/>
    <col min="14084" max="14084" width="49.6640625" style="8" customWidth="1"/>
    <col min="14085" max="14085" width="6.6640625" style="8" bestFit="1" customWidth="1"/>
    <col min="14086" max="14087" width="10.33203125" style="8" customWidth="1"/>
    <col min="14088" max="14088" width="1.88671875" style="8" customWidth="1"/>
    <col min="14089" max="14336" width="8.88671875" style="8"/>
    <col min="14337" max="14337" width="1.77734375" style="8" customWidth="1"/>
    <col min="14338" max="14338" width="3.33203125" style="8" customWidth="1"/>
    <col min="14339" max="14339" width="12" style="8" customWidth="1"/>
    <col min="14340" max="14340" width="49.6640625" style="8" customWidth="1"/>
    <col min="14341" max="14341" width="6.6640625" style="8" bestFit="1" customWidth="1"/>
    <col min="14342" max="14343" width="10.33203125" style="8" customWidth="1"/>
    <col min="14344" max="14344" width="1.88671875" style="8" customWidth="1"/>
    <col min="14345" max="14592" width="8.88671875" style="8"/>
    <col min="14593" max="14593" width="1.77734375" style="8" customWidth="1"/>
    <col min="14594" max="14594" width="3.33203125" style="8" customWidth="1"/>
    <col min="14595" max="14595" width="12" style="8" customWidth="1"/>
    <col min="14596" max="14596" width="49.6640625" style="8" customWidth="1"/>
    <col min="14597" max="14597" width="6.6640625" style="8" bestFit="1" customWidth="1"/>
    <col min="14598" max="14599" width="10.33203125" style="8" customWidth="1"/>
    <col min="14600" max="14600" width="1.88671875" style="8" customWidth="1"/>
    <col min="14601" max="14848" width="8.88671875" style="8"/>
    <col min="14849" max="14849" width="1.77734375" style="8" customWidth="1"/>
    <col min="14850" max="14850" width="3.33203125" style="8" customWidth="1"/>
    <col min="14851" max="14851" width="12" style="8" customWidth="1"/>
    <col min="14852" max="14852" width="49.6640625" style="8" customWidth="1"/>
    <col min="14853" max="14853" width="6.6640625" style="8" bestFit="1" customWidth="1"/>
    <col min="14854" max="14855" width="10.33203125" style="8" customWidth="1"/>
    <col min="14856" max="14856" width="1.88671875" style="8" customWidth="1"/>
    <col min="14857" max="15104" width="8.88671875" style="8"/>
    <col min="15105" max="15105" width="1.77734375" style="8" customWidth="1"/>
    <col min="15106" max="15106" width="3.33203125" style="8" customWidth="1"/>
    <col min="15107" max="15107" width="12" style="8" customWidth="1"/>
    <col min="15108" max="15108" width="49.6640625" style="8" customWidth="1"/>
    <col min="15109" max="15109" width="6.6640625" style="8" bestFit="1" customWidth="1"/>
    <col min="15110" max="15111" width="10.33203125" style="8" customWidth="1"/>
    <col min="15112" max="15112" width="1.88671875" style="8" customWidth="1"/>
    <col min="15113" max="15360" width="8.88671875" style="8"/>
    <col min="15361" max="15361" width="1.77734375" style="8" customWidth="1"/>
    <col min="15362" max="15362" width="3.33203125" style="8" customWidth="1"/>
    <col min="15363" max="15363" width="12" style="8" customWidth="1"/>
    <col min="15364" max="15364" width="49.6640625" style="8" customWidth="1"/>
    <col min="15365" max="15365" width="6.6640625" style="8" bestFit="1" customWidth="1"/>
    <col min="15366" max="15367" width="10.33203125" style="8" customWidth="1"/>
    <col min="15368" max="15368" width="1.88671875" style="8" customWidth="1"/>
    <col min="15369" max="15616" width="8.88671875" style="8"/>
    <col min="15617" max="15617" width="1.77734375" style="8" customWidth="1"/>
    <col min="15618" max="15618" width="3.33203125" style="8" customWidth="1"/>
    <col min="15619" max="15619" width="12" style="8" customWidth="1"/>
    <col min="15620" max="15620" width="49.6640625" style="8" customWidth="1"/>
    <col min="15621" max="15621" width="6.6640625" style="8" bestFit="1" customWidth="1"/>
    <col min="15622" max="15623" width="10.33203125" style="8" customWidth="1"/>
    <col min="15624" max="15624" width="1.88671875" style="8" customWidth="1"/>
    <col min="15625" max="15872" width="8.88671875" style="8"/>
    <col min="15873" max="15873" width="1.77734375" style="8" customWidth="1"/>
    <col min="15874" max="15874" width="3.33203125" style="8" customWidth="1"/>
    <col min="15875" max="15875" width="12" style="8" customWidth="1"/>
    <col min="15876" max="15876" width="49.6640625" style="8" customWidth="1"/>
    <col min="15877" max="15877" width="6.6640625" style="8" bestFit="1" customWidth="1"/>
    <col min="15878" max="15879" width="10.33203125" style="8" customWidth="1"/>
    <col min="15880" max="15880" width="1.88671875" style="8" customWidth="1"/>
    <col min="15881" max="16128" width="8.88671875" style="8"/>
    <col min="16129" max="16129" width="1.77734375" style="8" customWidth="1"/>
    <col min="16130" max="16130" width="3.33203125" style="8" customWidth="1"/>
    <col min="16131" max="16131" width="12" style="8" customWidth="1"/>
    <col min="16132" max="16132" width="49.6640625" style="8" customWidth="1"/>
    <col min="16133" max="16133" width="6.6640625" style="8" bestFit="1" customWidth="1"/>
    <col min="16134" max="16135" width="10.33203125" style="8" customWidth="1"/>
    <col min="16136" max="16136" width="1.88671875" style="8" customWidth="1"/>
    <col min="16137" max="16384" width="8.88671875" style="8"/>
  </cols>
  <sheetData>
    <row r="1" spans="1:8">
      <c r="A1" s="1"/>
      <c r="B1" s="2"/>
      <c r="C1" s="3"/>
      <c r="D1" s="4"/>
      <c r="E1" s="5"/>
      <c r="F1" s="6"/>
      <c r="G1" s="6"/>
      <c r="H1" s="7"/>
    </row>
    <row r="2" spans="1:8" s="11" customFormat="1" ht="13.5">
      <c r="A2" s="9"/>
      <c r="B2" s="10"/>
      <c r="D2" s="12"/>
      <c r="E2" s="13"/>
      <c r="F2" s="14"/>
      <c r="G2" s="14"/>
      <c r="H2" s="15"/>
    </row>
    <row r="3" spans="1:8" s="11" customFormat="1" ht="13.5">
      <c r="A3" s="9"/>
      <c r="B3" s="10"/>
      <c r="D3" s="12"/>
      <c r="E3" s="13"/>
      <c r="F3" s="14"/>
      <c r="G3" s="14"/>
      <c r="H3" s="15"/>
    </row>
    <row r="4" spans="1:8" s="11" customFormat="1" ht="13.5">
      <c r="A4" s="9"/>
      <c r="B4" s="10"/>
      <c r="D4" s="12"/>
      <c r="E4" s="13"/>
      <c r="F4" s="14"/>
      <c r="G4" s="14"/>
      <c r="H4" s="15"/>
    </row>
    <row r="5" spans="1:8" s="11" customFormat="1" ht="13.5">
      <c r="A5" s="9"/>
      <c r="B5" s="10"/>
      <c r="D5" s="12"/>
      <c r="E5" s="13"/>
      <c r="F5" s="14"/>
      <c r="G5" s="14"/>
      <c r="H5" s="15"/>
    </row>
    <row r="6" spans="1:8" s="11" customFormat="1" ht="13.5">
      <c r="A6" s="9"/>
      <c r="B6" s="10"/>
      <c r="D6" s="12"/>
      <c r="E6" s="13"/>
      <c r="F6" s="14"/>
      <c r="G6" s="14"/>
      <c r="H6" s="15"/>
    </row>
    <row r="7" spans="1:8" s="11" customFormat="1" ht="13.5">
      <c r="A7" s="9"/>
      <c r="B7" s="10"/>
      <c r="D7" s="12"/>
      <c r="E7" s="13"/>
      <c r="F7" s="14"/>
      <c r="G7" s="14"/>
      <c r="H7" s="15"/>
    </row>
    <row r="8" spans="1:8" s="11" customFormat="1" ht="14.45" customHeight="1">
      <c r="A8" s="9"/>
      <c r="B8" s="10"/>
      <c r="C8" s="16" t="s">
        <v>0</v>
      </c>
      <c r="D8" s="12" t="s">
        <v>48</v>
      </c>
      <c r="E8" s="13"/>
      <c r="F8" s="14"/>
      <c r="G8" s="14"/>
      <c r="H8" s="15"/>
    </row>
    <row r="9" spans="1:8" s="11" customFormat="1" ht="15.6" customHeight="1">
      <c r="A9" s="9"/>
      <c r="B9" s="10"/>
      <c r="C9" s="16" t="s">
        <v>1</v>
      </c>
      <c r="D9" s="12" t="s">
        <v>49</v>
      </c>
      <c r="E9" s="13"/>
      <c r="F9" s="14"/>
      <c r="G9" s="14"/>
      <c r="H9" s="15"/>
    </row>
    <row r="10" spans="1:8" s="11" customFormat="1" ht="13.5">
      <c r="A10" s="9"/>
      <c r="B10" s="10"/>
      <c r="C10" s="16" t="s">
        <v>2</v>
      </c>
      <c r="D10" s="12" t="s">
        <v>50</v>
      </c>
      <c r="E10" s="13"/>
      <c r="F10" s="14"/>
      <c r="G10" s="14"/>
      <c r="H10" s="15"/>
    </row>
    <row r="11" spans="1:8" s="11" customFormat="1" ht="13.5">
      <c r="A11" s="9"/>
      <c r="B11" s="10"/>
      <c r="C11" s="16" t="s">
        <v>3</v>
      </c>
      <c r="D11" s="12" t="s">
        <v>25</v>
      </c>
      <c r="E11" s="13"/>
      <c r="F11" s="11" t="s">
        <v>4</v>
      </c>
      <c r="H11" s="15"/>
    </row>
    <row r="12" spans="1:8" s="11" customFormat="1" ht="13.5">
      <c r="A12" s="9"/>
      <c r="B12" s="10"/>
      <c r="C12" s="17"/>
      <c r="D12" s="12"/>
      <c r="E12" s="13"/>
      <c r="F12" s="11" t="s">
        <v>5</v>
      </c>
      <c r="H12" s="15"/>
    </row>
    <row r="13" spans="1:8" s="11" customFormat="1" ht="13.5">
      <c r="A13" s="9"/>
      <c r="B13" s="10"/>
      <c r="C13" s="17"/>
      <c r="D13" s="12"/>
      <c r="E13" s="13"/>
      <c r="F13" s="11" t="s">
        <v>6</v>
      </c>
      <c r="H13" s="15"/>
    </row>
    <row r="14" spans="1:8" s="11" customFormat="1" ht="13.5">
      <c r="A14" s="9"/>
      <c r="B14" s="10"/>
      <c r="C14" s="18" t="s">
        <v>53</v>
      </c>
      <c r="D14" s="12"/>
      <c r="E14" s="13"/>
      <c r="F14" s="11" t="s">
        <v>7</v>
      </c>
      <c r="H14" s="15"/>
    </row>
    <row r="15" spans="1:8" s="11" customFormat="1" ht="13.5">
      <c r="A15" s="9"/>
      <c r="B15" s="10"/>
      <c r="C15" s="18" t="s">
        <v>8</v>
      </c>
      <c r="D15" s="12"/>
      <c r="E15" s="13"/>
      <c r="F15" s="11" t="s">
        <v>9</v>
      </c>
      <c r="H15" s="15"/>
    </row>
    <row r="16" spans="1:8" s="11" customFormat="1" ht="13.5">
      <c r="A16" s="9"/>
      <c r="B16" s="19"/>
      <c r="C16" s="20"/>
      <c r="D16" s="21"/>
      <c r="E16" s="13"/>
      <c r="F16" s="14"/>
      <c r="G16" s="14"/>
      <c r="H16" s="15"/>
    </row>
    <row r="17" spans="1:12" s="10" customFormat="1" ht="13.5">
      <c r="A17" s="22"/>
      <c r="B17" s="23" t="s">
        <v>10</v>
      </c>
      <c r="C17" s="24"/>
      <c r="D17" s="25" t="s">
        <v>11</v>
      </c>
      <c r="E17" s="26" t="s">
        <v>12</v>
      </c>
      <c r="F17" s="26" t="s">
        <v>13</v>
      </c>
      <c r="G17" s="27" t="s">
        <v>14</v>
      </c>
      <c r="H17" s="28"/>
    </row>
    <row r="18" spans="1:12" s="11" customFormat="1" ht="14.45" customHeight="1">
      <c r="A18" s="9"/>
      <c r="B18" s="29">
        <v>1</v>
      </c>
      <c r="C18" s="30" t="s">
        <v>15</v>
      </c>
      <c r="D18" s="69" t="s">
        <v>26</v>
      </c>
      <c r="E18" s="72">
        <v>12</v>
      </c>
      <c r="F18" s="32">
        <f>G18/E18</f>
        <v>250000</v>
      </c>
      <c r="G18" s="33">
        <v>3000000</v>
      </c>
      <c r="H18" s="34"/>
      <c r="I18" s="35"/>
      <c r="J18" s="35"/>
      <c r="L18" s="36"/>
    </row>
    <row r="19" spans="1:12" s="11" customFormat="1" ht="15" customHeight="1">
      <c r="A19" s="9"/>
      <c r="B19" s="29"/>
      <c r="C19" s="37"/>
      <c r="D19" s="70" t="s">
        <v>29</v>
      </c>
      <c r="E19" s="31"/>
      <c r="F19" s="32"/>
      <c r="G19" s="33"/>
      <c r="H19" s="38"/>
      <c r="I19" s="35"/>
      <c r="J19" s="35"/>
    </row>
    <row r="20" spans="1:12" s="11" customFormat="1" ht="15" customHeight="1">
      <c r="A20" s="9"/>
      <c r="B20" s="39"/>
      <c r="C20" s="37"/>
      <c r="D20" s="68" t="s">
        <v>30</v>
      </c>
      <c r="E20" s="31">
        <v>1</v>
      </c>
      <c r="F20" s="40"/>
      <c r="G20" s="33"/>
      <c r="H20" s="41"/>
      <c r="J20" s="35"/>
      <c r="K20" s="35"/>
      <c r="L20" s="36"/>
    </row>
    <row r="21" spans="1:12" s="11" customFormat="1" ht="15" customHeight="1">
      <c r="A21" s="9"/>
      <c r="B21" s="39"/>
      <c r="C21" s="42"/>
      <c r="D21" s="71" t="s">
        <v>32</v>
      </c>
      <c r="E21" s="31"/>
      <c r="F21" s="40"/>
      <c r="G21" s="43"/>
      <c r="H21" s="41"/>
      <c r="K21" s="35"/>
    </row>
    <row r="22" spans="1:12" s="11" customFormat="1" ht="15" customHeight="1">
      <c r="A22" s="9"/>
      <c r="B22" s="39"/>
      <c r="C22" s="42"/>
      <c r="D22" s="71" t="s">
        <v>33</v>
      </c>
      <c r="E22" s="44"/>
      <c r="F22" s="32"/>
      <c r="G22" s="33"/>
      <c r="H22" s="41"/>
    </row>
    <row r="23" spans="1:12" s="11" customFormat="1" ht="15" customHeight="1">
      <c r="A23" s="9"/>
      <c r="B23" s="39"/>
      <c r="C23" s="42"/>
      <c r="D23" s="71" t="s">
        <v>34</v>
      </c>
      <c r="E23" s="44"/>
      <c r="F23" s="32"/>
      <c r="G23" s="43"/>
      <c r="H23" s="41"/>
    </row>
    <row r="24" spans="1:12" s="11" customFormat="1" ht="15" customHeight="1">
      <c r="A24" s="9"/>
      <c r="B24" s="39"/>
      <c r="C24" s="42"/>
      <c r="D24" s="71" t="s">
        <v>35</v>
      </c>
      <c r="E24" s="44"/>
      <c r="F24" s="40"/>
      <c r="G24" s="33"/>
      <c r="H24" s="41"/>
    </row>
    <row r="25" spans="1:12" s="11" customFormat="1" ht="15" customHeight="1">
      <c r="A25" s="9"/>
      <c r="B25" s="39"/>
      <c r="C25" s="42"/>
      <c r="D25" s="71" t="s">
        <v>36</v>
      </c>
      <c r="E25" s="44"/>
      <c r="F25" s="40"/>
      <c r="G25" s="43"/>
      <c r="H25" s="41"/>
    </row>
    <row r="26" spans="1:12" s="11" customFormat="1" ht="15" customHeight="1">
      <c r="A26" s="9"/>
      <c r="B26" s="39"/>
      <c r="C26" s="42"/>
      <c r="D26" s="71" t="s">
        <v>37</v>
      </c>
      <c r="E26" s="44"/>
      <c r="F26" s="40"/>
      <c r="G26" s="33"/>
      <c r="H26" s="41"/>
    </row>
    <row r="27" spans="1:12" s="11" customFormat="1" ht="15" customHeight="1">
      <c r="A27" s="9"/>
      <c r="B27" s="39"/>
      <c r="C27" s="42"/>
      <c r="D27" s="71" t="s">
        <v>38</v>
      </c>
      <c r="E27" s="44"/>
      <c r="F27" s="45"/>
      <c r="G27" s="33"/>
      <c r="H27" s="41"/>
    </row>
    <row r="28" spans="1:12" s="11" customFormat="1" ht="15" customHeight="1">
      <c r="A28" s="9"/>
      <c r="B28" s="39"/>
      <c r="C28" s="42"/>
      <c r="D28" s="68" t="s">
        <v>31</v>
      </c>
      <c r="E28" s="44">
        <v>500</v>
      </c>
      <c r="F28" s="45"/>
      <c r="G28" s="33"/>
      <c r="H28" s="41"/>
    </row>
    <row r="29" spans="1:12" s="11" customFormat="1" ht="15" customHeight="1">
      <c r="A29" s="9"/>
      <c r="B29" s="39"/>
      <c r="C29" s="42"/>
      <c r="D29" s="71" t="s">
        <v>39</v>
      </c>
      <c r="E29" s="44"/>
      <c r="F29" s="45"/>
      <c r="G29" s="33"/>
      <c r="H29" s="41"/>
    </row>
    <row r="30" spans="1:12" s="11" customFormat="1" ht="15" customHeight="1">
      <c r="A30" s="9"/>
      <c r="B30" s="39"/>
      <c r="C30" s="42"/>
      <c r="D30" s="71" t="s">
        <v>40</v>
      </c>
      <c r="E30" s="44"/>
      <c r="F30" s="45"/>
      <c r="G30" s="33"/>
      <c r="H30" s="41"/>
    </row>
    <row r="31" spans="1:12" s="11" customFormat="1" ht="13.5">
      <c r="A31" s="9"/>
      <c r="B31" s="39"/>
      <c r="C31" s="42"/>
      <c r="D31" s="42"/>
      <c r="E31" s="46"/>
      <c r="F31" s="47"/>
      <c r="G31" s="48"/>
      <c r="H31" s="41"/>
    </row>
    <row r="32" spans="1:12" s="11" customFormat="1" ht="22.5" customHeight="1">
      <c r="A32" s="9"/>
      <c r="B32" s="73" t="s">
        <v>16</v>
      </c>
      <c r="C32" s="73"/>
      <c r="D32" s="73"/>
      <c r="E32" s="49"/>
      <c r="F32" s="50">
        <f>SUM(F17:F20)</f>
        <v>250000</v>
      </c>
      <c r="G32" s="50">
        <f>SUM(G17:G20)</f>
        <v>3000000</v>
      </c>
      <c r="H32" s="15"/>
    </row>
    <row r="33" spans="1:8" s="11" customFormat="1" ht="22.5" customHeight="1">
      <c r="A33" s="9"/>
      <c r="B33" s="73" t="s">
        <v>17</v>
      </c>
      <c r="C33" s="73"/>
      <c r="D33" s="73"/>
      <c r="E33" s="49"/>
      <c r="F33" s="50">
        <f>F32*1.1</f>
        <v>275000</v>
      </c>
      <c r="G33" s="50">
        <f>G32*1.1</f>
        <v>3300000.0000000005</v>
      </c>
      <c r="H33" s="15"/>
    </row>
    <row r="34" spans="1:8" s="11" customFormat="1" ht="12" customHeight="1">
      <c r="A34" s="9"/>
      <c r="B34" s="51"/>
      <c r="C34" s="51"/>
      <c r="D34" s="51"/>
      <c r="E34" s="52"/>
      <c r="F34" s="52"/>
      <c r="G34" s="52"/>
      <c r="H34" s="15"/>
    </row>
    <row r="35" spans="1:8" s="11" customFormat="1" ht="12" customHeight="1">
      <c r="A35" s="9"/>
      <c r="B35" s="51"/>
      <c r="C35" s="51"/>
      <c r="D35" s="51"/>
      <c r="E35" s="52"/>
      <c r="F35" s="52"/>
      <c r="G35" s="52"/>
      <c r="H35" s="15"/>
    </row>
    <row r="36" spans="1:8" s="11" customFormat="1" ht="12" customHeight="1">
      <c r="A36" s="9"/>
      <c r="B36" s="51"/>
      <c r="C36" s="16" t="s">
        <v>27</v>
      </c>
      <c r="D36" s="53" t="s">
        <v>28</v>
      </c>
      <c r="E36" s="52"/>
      <c r="F36" s="52"/>
      <c r="G36" s="52"/>
      <c r="H36" s="15"/>
    </row>
    <row r="37" spans="1:8" s="11" customFormat="1" ht="15" customHeight="1">
      <c r="A37" s="9"/>
      <c r="C37" s="16" t="s">
        <v>18</v>
      </c>
      <c r="D37" s="53" t="s">
        <v>19</v>
      </c>
      <c r="E37" s="52"/>
      <c r="F37" s="52"/>
      <c r="G37" s="52"/>
      <c r="H37" s="15"/>
    </row>
    <row r="38" spans="1:8" s="11" customFormat="1" ht="15" customHeight="1">
      <c r="A38" s="9"/>
      <c r="C38" s="16" t="s">
        <v>20</v>
      </c>
      <c r="D38" s="53" t="s">
        <v>21</v>
      </c>
      <c r="E38" s="52"/>
      <c r="F38" s="52"/>
      <c r="G38" s="52"/>
      <c r="H38" s="15"/>
    </row>
    <row r="39" spans="1:8" s="11" customFormat="1" ht="13.5">
      <c r="A39" s="9"/>
      <c r="C39" s="16" t="s">
        <v>22</v>
      </c>
      <c r="D39" s="54" t="s">
        <v>23</v>
      </c>
      <c r="E39" s="52"/>
      <c r="F39" s="52"/>
      <c r="G39" s="52"/>
      <c r="H39" s="15"/>
    </row>
    <row r="40" spans="1:8" s="11" customFormat="1" ht="13.5">
      <c r="A40" s="9"/>
      <c r="C40" s="16" t="s">
        <v>3</v>
      </c>
      <c r="D40" s="54" t="s">
        <v>24</v>
      </c>
      <c r="E40" s="52"/>
      <c r="F40" s="52"/>
      <c r="G40" s="52"/>
      <c r="H40" s="15"/>
    </row>
    <row r="41" spans="1:8" s="11" customFormat="1" ht="13.5">
      <c r="A41" s="9"/>
      <c r="C41" s="16"/>
      <c r="D41" s="54"/>
      <c r="E41" s="52"/>
      <c r="F41" s="52"/>
      <c r="G41" s="52"/>
      <c r="H41" s="15"/>
    </row>
    <row r="42" spans="1:8" s="11" customFormat="1" ht="12" customHeight="1">
      <c r="A42" s="9"/>
      <c r="B42" s="54"/>
      <c r="C42" s="52"/>
      <c r="D42" s="52"/>
      <c r="E42" s="52"/>
      <c r="F42" s="52"/>
      <c r="G42" s="52"/>
      <c r="H42" s="15"/>
    </row>
    <row r="43" spans="1:8" s="62" customFormat="1" ht="14.25" thickBot="1">
      <c r="A43" s="55"/>
      <c r="B43" s="56"/>
      <c r="C43" s="57"/>
      <c r="D43" s="58"/>
      <c r="E43" s="59"/>
      <c r="F43" s="60"/>
      <c r="G43" s="60"/>
      <c r="H43" s="61"/>
    </row>
    <row r="44" spans="1:8" s="62" customFormat="1" ht="13.5">
      <c r="A44" s="11"/>
      <c r="B44" s="10"/>
      <c r="C44" s="11"/>
      <c r="D44" s="12"/>
      <c r="E44" s="13"/>
      <c r="F44" s="14"/>
      <c r="G44" s="14"/>
    </row>
  </sheetData>
  <mergeCells count="2">
    <mergeCell ref="B32:D32"/>
    <mergeCell ref="B33:D33"/>
  </mergeCells>
  <phoneticPr fontId="3" type="noConversion"/>
  <pageMargins left="0.24" right="0.16" top="0.87" bottom="0.74803149606299213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72AD-B0B2-4779-B196-501F1B9CAB5F}">
  <sheetPr>
    <pageSetUpPr fitToPage="1"/>
  </sheetPr>
  <dimension ref="A1:L38"/>
  <sheetViews>
    <sheetView view="pageBreakPreview" topLeftCell="A12" zoomScale="112" zoomScaleNormal="130" zoomScaleSheetLayoutView="112" workbookViewId="0">
      <selection activeCell="C15" sqref="C15"/>
    </sheetView>
  </sheetViews>
  <sheetFormatPr defaultRowHeight="16.5"/>
  <cols>
    <col min="1" max="1" width="1.77734375" style="63" customWidth="1"/>
    <col min="2" max="2" width="3.33203125" style="64" customWidth="1"/>
    <col min="3" max="3" width="12" style="63" customWidth="1"/>
    <col min="4" max="4" width="49.6640625" style="65" customWidth="1"/>
    <col min="5" max="5" width="6.6640625" style="66" bestFit="1" customWidth="1"/>
    <col min="6" max="7" width="10.33203125" style="67" customWidth="1"/>
    <col min="8" max="8" width="1.88671875" style="8" customWidth="1"/>
    <col min="9" max="256" width="8.88671875" style="8"/>
    <col min="257" max="257" width="1.77734375" style="8" customWidth="1"/>
    <col min="258" max="258" width="3.33203125" style="8" customWidth="1"/>
    <col min="259" max="259" width="12" style="8" customWidth="1"/>
    <col min="260" max="260" width="49.6640625" style="8" customWidth="1"/>
    <col min="261" max="261" width="6.6640625" style="8" bestFit="1" customWidth="1"/>
    <col min="262" max="263" width="10.33203125" style="8" customWidth="1"/>
    <col min="264" max="264" width="1.88671875" style="8" customWidth="1"/>
    <col min="265" max="512" width="8.88671875" style="8"/>
    <col min="513" max="513" width="1.77734375" style="8" customWidth="1"/>
    <col min="514" max="514" width="3.33203125" style="8" customWidth="1"/>
    <col min="515" max="515" width="12" style="8" customWidth="1"/>
    <col min="516" max="516" width="49.6640625" style="8" customWidth="1"/>
    <col min="517" max="517" width="6.6640625" style="8" bestFit="1" customWidth="1"/>
    <col min="518" max="519" width="10.33203125" style="8" customWidth="1"/>
    <col min="520" max="520" width="1.88671875" style="8" customWidth="1"/>
    <col min="521" max="768" width="8.88671875" style="8"/>
    <col min="769" max="769" width="1.77734375" style="8" customWidth="1"/>
    <col min="770" max="770" width="3.33203125" style="8" customWidth="1"/>
    <col min="771" max="771" width="12" style="8" customWidth="1"/>
    <col min="772" max="772" width="49.6640625" style="8" customWidth="1"/>
    <col min="773" max="773" width="6.6640625" style="8" bestFit="1" customWidth="1"/>
    <col min="774" max="775" width="10.33203125" style="8" customWidth="1"/>
    <col min="776" max="776" width="1.88671875" style="8" customWidth="1"/>
    <col min="777" max="1024" width="8.88671875" style="8"/>
    <col min="1025" max="1025" width="1.77734375" style="8" customWidth="1"/>
    <col min="1026" max="1026" width="3.33203125" style="8" customWidth="1"/>
    <col min="1027" max="1027" width="12" style="8" customWidth="1"/>
    <col min="1028" max="1028" width="49.6640625" style="8" customWidth="1"/>
    <col min="1029" max="1029" width="6.6640625" style="8" bestFit="1" customWidth="1"/>
    <col min="1030" max="1031" width="10.33203125" style="8" customWidth="1"/>
    <col min="1032" max="1032" width="1.88671875" style="8" customWidth="1"/>
    <col min="1033" max="1280" width="8.88671875" style="8"/>
    <col min="1281" max="1281" width="1.77734375" style="8" customWidth="1"/>
    <col min="1282" max="1282" width="3.33203125" style="8" customWidth="1"/>
    <col min="1283" max="1283" width="12" style="8" customWidth="1"/>
    <col min="1284" max="1284" width="49.6640625" style="8" customWidth="1"/>
    <col min="1285" max="1285" width="6.6640625" style="8" bestFit="1" customWidth="1"/>
    <col min="1286" max="1287" width="10.33203125" style="8" customWidth="1"/>
    <col min="1288" max="1288" width="1.88671875" style="8" customWidth="1"/>
    <col min="1289" max="1536" width="8.88671875" style="8"/>
    <col min="1537" max="1537" width="1.77734375" style="8" customWidth="1"/>
    <col min="1538" max="1538" width="3.33203125" style="8" customWidth="1"/>
    <col min="1539" max="1539" width="12" style="8" customWidth="1"/>
    <col min="1540" max="1540" width="49.6640625" style="8" customWidth="1"/>
    <col min="1541" max="1541" width="6.6640625" style="8" bestFit="1" customWidth="1"/>
    <col min="1542" max="1543" width="10.33203125" style="8" customWidth="1"/>
    <col min="1544" max="1544" width="1.88671875" style="8" customWidth="1"/>
    <col min="1545" max="1792" width="8.88671875" style="8"/>
    <col min="1793" max="1793" width="1.77734375" style="8" customWidth="1"/>
    <col min="1794" max="1794" width="3.33203125" style="8" customWidth="1"/>
    <col min="1795" max="1795" width="12" style="8" customWidth="1"/>
    <col min="1796" max="1796" width="49.6640625" style="8" customWidth="1"/>
    <col min="1797" max="1797" width="6.6640625" style="8" bestFit="1" customWidth="1"/>
    <col min="1798" max="1799" width="10.33203125" style="8" customWidth="1"/>
    <col min="1800" max="1800" width="1.88671875" style="8" customWidth="1"/>
    <col min="1801" max="2048" width="8.88671875" style="8"/>
    <col min="2049" max="2049" width="1.77734375" style="8" customWidth="1"/>
    <col min="2050" max="2050" width="3.33203125" style="8" customWidth="1"/>
    <col min="2051" max="2051" width="12" style="8" customWidth="1"/>
    <col min="2052" max="2052" width="49.6640625" style="8" customWidth="1"/>
    <col min="2053" max="2053" width="6.6640625" style="8" bestFit="1" customWidth="1"/>
    <col min="2054" max="2055" width="10.33203125" style="8" customWidth="1"/>
    <col min="2056" max="2056" width="1.88671875" style="8" customWidth="1"/>
    <col min="2057" max="2304" width="8.88671875" style="8"/>
    <col min="2305" max="2305" width="1.77734375" style="8" customWidth="1"/>
    <col min="2306" max="2306" width="3.33203125" style="8" customWidth="1"/>
    <col min="2307" max="2307" width="12" style="8" customWidth="1"/>
    <col min="2308" max="2308" width="49.6640625" style="8" customWidth="1"/>
    <col min="2309" max="2309" width="6.6640625" style="8" bestFit="1" customWidth="1"/>
    <col min="2310" max="2311" width="10.33203125" style="8" customWidth="1"/>
    <col min="2312" max="2312" width="1.88671875" style="8" customWidth="1"/>
    <col min="2313" max="2560" width="8.88671875" style="8"/>
    <col min="2561" max="2561" width="1.77734375" style="8" customWidth="1"/>
    <col min="2562" max="2562" width="3.33203125" style="8" customWidth="1"/>
    <col min="2563" max="2563" width="12" style="8" customWidth="1"/>
    <col min="2564" max="2564" width="49.6640625" style="8" customWidth="1"/>
    <col min="2565" max="2565" width="6.6640625" style="8" bestFit="1" customWidth="1"/>
    <col min="2566" max="2567" width="10.33203125" style="8" customWidth="1"/>
    <col min="2568" max="2568" width="1.88671875" style="8" customWidth="1"/>
    <col min="2569" max="2816" width="8.88671875" style="8"/>
    <col min="2817" max="2817" width="1.77734375" style="8" customWidth="1"/>
    <col min="2818" max="2818" width="3.33203125" style="8" customWidth="1"/>
    <col min="2819" max="2819" width="12" style="8" customWidth="1"/>
    <col min="2820" max="2820" width="49.6640625" style="8" customWidth="1"/>
    <col min="2821" max="2821" width="6.6640625" style="8" bestFit="1" customWidth="1"/>
    <col min="2822" max="2823" width="10.33203125" style="8" customWidth="1"/>
    <col min="2824" max="2824" width="1.88671875" style="8" customWidth="1"/>
    <col min="2825" max="3072" width="8.88671875" style="8"/>
    <col min="3073" max="3073" width="1.77734375" style="8" customWidth="1"/>
    <col min="3074" max="3074" width="3.33203125" style="8" customWidth="1"/>
    <col min="3075" max="3075" width="12" style="8" customWidth="1"/>
    <col min="3076" max="3076" width="49.6640625" style="8" customWidth="1"/>
    <col min="3077" max="3077" width="6.6640625" style="8" bestFit="1" customWidth="1"/>
    <col min="3078" max="3079" width="10.33203125" style="8" customWidth="1"/>
    <col min="3080" max="3080" width="1.88671875" style="8" customWidth="1"/>
    <col min="3081" max="3328" width="8.88671875" style="8"/>
    <col min="3329" max="3329" width="1.77734375" style="8" customWidth="1"/>
    <col min="3330" max="3330" width="3.33203125" style="8" customWidth="1"/>
    <col min="3331" max="3331" width="12" style="8" customWidth="1"/>
    <col min="3332" max="3332" width="49.6640625" style="8" customWidth="1"/>
    <col min="3333" max="3333" width="6.6640625" style="8" bestFit="1" customWidth="1"/>
    <col min="3334" max="3335" width="10.33203125" style="8" customWidth="1"/>
    <col min="3336" max="3336" width="1.88671875" style="8" customWidth="1"/>
    <col min="3337" max="3584" width="8.88671875" style="8"/>
    <col min="3585" max="3585" width="1.77734375" style="8" customWidth="1"/>
    <col min="3586" max="3586" width="3.33203125" style="8" customWidth="1"/>
    <col min="3587" max="3587" width="12" style="8" customWidth="1"/>
    <col min="3588" max="3588" width="49.6640625" style="8" customWidth="1"/>
    <col min="3589" max="3589" width="6.6640625" style="8" bestFit="1" customWidth="1"/>
    <col min="3590" max="3591" width="10.33203125" style="8" customWidth="1"/>
    <col min="3592" max="3592" width="1.88671875" style="8" customWidth="1"/>
    <col min="3593" max="3840" width="8.88671875" style="8"/>
    <col min="3841" max="3841" width="1.77734375" style="8" customWidth="1"/>
    <col min="3842" max="3842" width="3.33203125" style="8" customWidth="1"/>
    <col min="3843" max="3843" width="12" style="8" customWidth="1"/>
    <col min="3844" max="3844" width="49.6640625" style="8" customWidth="1"/>
    <col min="3845" max="3845" width="6.6640625" style="8" bestFit="1" customWidth="1"/>
    <col min="3846" max="3847" width="10.33203125" style="8" customWidth="1"/>
    <col min="3848" max="3848" width="1.88671875" style="8" customWidth="1"/>
    <col min="3849" max="4096" width="8.88671875" style="8"/>
    <col min="4097" max="4097" width="1.77734375" style="8" customWidth="1"/>
    <col min="4098" max="4098" width="3.33203125" style="8" customWidth="1"/>
    <col min="4099" max="4099" width="12" style="8" customWidth="1"/>
    <col min="4100" max="4100" width="49.6640625" style="8" customWidth="1"/>
    <col min="4101" max="4101" width="6.6640625" style="8" bestFit="1" customWidth="1"/>
    <col min="4102" max="4103" width="10.33203125" style="8" customWidth="1"/>
    <col min="4104" max="4104" width="1.88671875" style="8" customWidth="1"/>
    <col min="4105" max="4352" width="8.88671875" style="8"/>
    <col min="4353" max="4353" width="1.77734375" style="8" customWidth="1"/>
    <col min="4354" max="4354" width="3.33203125" style="8" customWidth="1"/>
    <col min="4355" max="4355" width="12" style="8" customWidth="1"/>
    <col min="4356" max="4356" width="49.6640625" style="8" customWidth="1"/>
    <col min="4357" max="4357" width="6.6640625" style="8" bestFit="1" customWidth="1"/>
    <col min="4358" max="4359" width="10.33203125" style="8" customWidth="1"/>
    <col min="4360" max="4360" width="1.88671875" style="8" customWidth="1"/>
    <col min="4361" max="4608" width="8.88671875" style="8"/>
    <col min="4609" max="4609" width="1.77734375" style="8" customWidth="1"/>
    <col min="4610" max="4610" width="3.33203125" style="8" customWidth="1"/>
    <col min="4611" max="4611" width="12" style="8" customWidth="1"/>
    <col min="4612" max="4612" width="49.6640625" style="8" customWidth="1"/>
    <col min="4613" max="4613" width="6.6640625" style="8" bestFit="1" customWidth="1"/>
    <col min="4614" max="4615" width="10.33203125" style="8" customWidth="1"/>
    <col min="4616" max="4616" width="1.88671875" style="8" customWidth="1"/>
    <col min="4617" max="4864" width="8.88671875" style="8"/>
    <col min="4865" max="4865" width="1.77734375" style="8" customWidth="1"/>
    <col min="4866" max="4866" width="3.33203125" style="8" customWidth="1"/>
    <col min="4867" max="4867" width="12" style="8" customWidth="1"/>
    <col min="4868" max="4868" width="49.6640625" style="8" customWidth="1"/>
    <col min="4869" max="4869" width="6.6640625" style="8" bestFit="1" customWidth="1"/>
    <col min="4870" max="4871" width="10.33203125" style="8" customWidth="1"/>
    <col min="4872" max="4872" width="1.88671875" style="8" customWidth="1"/>
    <col min="4873" max="5120" width="8.88671875" style="8"/>
    <col min="5121" max="5121" width="1.77734375" style="8" customWidth="1"/>
    <col min="5122" max="5122" width="3.33203125" style="8" customWidth="1"/>
    <col min="5123" max="5123" width="12" style="8" customWidth="1"/>
    <col min="5124" max="5124" width="49.6640625" style="8" customWidth="1"/>
    <col min="5125" max="5125" width="6.6640625" style="8" bestFit="1" customWidth="1"/>
    <col min="5126" max="5127" width="10.33203125" style="8" customWidth="1"/>
    <col min="5128" max="5128" width="1.88671875" style="8" customWidth="1"/>
    <col min="5129" max="5376" width="8.88671875" style="8"/>
    <col min="5377" max="5377" width="1.77734375" style="8" customWidth="1"/>
    <col min="5378" max="5378" width="3.33203125" style="8" customWidth="1"/>
    <col min="5379" max="5379" width="12" style="8" customWidth="1"/>
    <col min="5380" max="5380" width="49.6640625" style="8" customWidth="1"/>
    <col min="5381" max="5381" width="6.6640625" style="8" bestFit="1" customWidth="1"/>
    <col min="5382" max="5383" width="10.33203125" style="8" customWidth="1"/>
    <col min="5384" max="5384" width="1.88671875" style="8" customWidth="1"/>
    <col min="5385" max="5632" width="8.88671875" style="8"/>
    <col min="5633" max="5633" width="1.77734375" style="8" customWidth="1"/>
    <col min="5634" max="5634" width="3.33203125" style="8" customWidth="1"/>
    <col min="5635" max="5635" width="12" style="8" customWidth="1"/>
    <col min="5636" max="5636" width="49.6640625" style="8" customWidth="1"/>
    <col min="5637" max="5637" width="6.6640625" style="8" bestFit="1" customWidth="1"/>
    <col min="5638" max="5639" width="10.33203125" style="8" customWidth="1"/>
    <col min="5640" max="5640" width="1.88671875" style="8" customWidth="1"/>
    <col min="5641" max="5888" width="8.88671875" style="8"/>
    <col min="5889" max="5889" width="1.77734375" style="8" customWidth="1"/>
    <col min="5890" max="5890" width="3.33203125" style="8" customWidth="1"/>
    <col min="5891" max="5891" width="12" style="8" customWidth="1"/>
    <col min="5892" max="5892" width="49.6640625" style="8" customWidth="1"/>
    <col min="5893" max="5893" width="6.6640625" style="8" bestFit="1" customWidth="1"/>
    <col min="5894" max="5895" width="10.33203125" style="8" customWidth="1"/>
    <col min="5896" max="5896" width="1.88671875" style="8" customWidth="1"/>
    <col min="5897" max="6144" width="8.88671875" style="8"/>
    <col min="6145" max="6145" width="1.77734375" style="8" customWidth="1"/>
    <col min="6146" max="6146" width="3.33203125" style="8" customWidth="1"/>
    <col min="6147" max="6147" width="12" style="8" customWidth="1"/>
    <col min="6148" max="6148" width="49.6640625" style="8" customWidth="1"/>
    <col min="6149" max="6149" width="6.6640625" style="8" bestFit="1" customWidth="1"/>
    <col min="6150" max="6151" width="10.33203125" style="8" customWidth="1"/>
    <col min="6152" max="6152" width="1.88671875" style="8" customWidth="1"/>
    <col min="6153" max="6400" width="8.88671875" style="8"/>
    <col min="6401" max="6401" width="1.77734375" style="8" customWidth="1"/>
    <col min="6402" max="6402" width="3.33203125" style="8" customWidth="1"/>
    <col min="6403" max="6403" width="12" style="8" customWidth="1"/>
    <col min="6404" max="6404" width="49.6640625" style="8" customWidth="1"/>
    <col min="6405" max="6405" width="6.6640625" style="8" bestFit="1" customWidth="1"/>
    <col min="6406" max="6407" width="10.33203125" style="8" customWidth="1"/>
    <col min="6408" max="6408" width="1.88671875" style="8" customWidth="1"/>
    <col min="6409" max="6656" width="8.88671875" style="8"/>
    <col min="6657" max="6657" width="1.77734375" style="8" customWidth="1"/>
    <col min="6658" max="6658" width="3.33203125" style="8" customWidth="1"/>
    <col min="6659" max="6659" width="12" style="8" customWidth="1"/>
    <col min="6660" max="6660" width="49.6640625" style="8" customWidth="1"/>
    <col min="6661" max="6661" width="6.6640625" style="8" bestFit="1" customWidth="1"/>
    <col min="6662" max="6663" width="10.33203125" style="8" customWidth="1"/>
    <col min="6664" max="6664" width="1.88671875" style="8" customWidth="1"/>
    <col min="6665" max="6912" width="8.88671875" style="8"/>
    <col min="6913" max="6913" width="1.77734375" style="8" customWidth="1"/>
    <col min="6914" max="6914" width="3.33203125" style="8" customWidth="1"/>
    <col min="6915" max="6915" width="12" style="8" customWidth="1"/>
    <col min="6916" max="6916" width="49.6640625" style="8" customWidth="1"/>
    <col min="6917" max="6917" width="6.6640625" style="8" bestFit="1" customWidth="1"/>
    <col min="6918" max="6919" width="10.33203125" style="8" customWidth="1"/>
    <col min="6920" max="6920" width="1.88671875" style="8" customWidth="1"/>
    <col min="6921" max="7168" width="8.88671875" style="8"/>
    <col min="7169" max="7169" width="1.77734375" style="8" customWidth="1"/>
    <col min="7170" max="7170" width="3.33203125" style="8" customWidth="1"/>
    <col min="7171" max="7171" width="12" style="8" customWidth="1"/>
    <col min="7172" max="7172" width="49.6640625" style="8" customWidth="1"/>
    <col min="7173" max="7173" width="6.6640625" style="8" bestFit="1" customWidth="1"/>
    <col min="7174" max="7175" width="10.33203125" style="8" customWidth="1"/>
    <col min="7176" max="7176" width="1.88671875" style="8" customWidth="1"/>
    <col min="7177" max="7424" width="8.88671875" style="8"/>
    <col min="7425" max="7425" width="1.77734375" style="8" customWidth="1"/>
    <col min="7426" max="7426" width="3.33203125" style="8" customWidth="1"/>
    <col min="7427" max="7427" width="12" style="8" customWidth="1"/>
    <col min="7428" max="7428" width="49.6640625" style="8" customWidth="1"/>
    <col min="7429" max="7429" width="6.6640625" style="8" bestFit="1" customWidth="1"/>
    <col min="7430" max="7431" width="10.33203125" style="8" customWidth="1"/>
    <col min="7432" max="7432" width="1.88671875" style="8" customWidth="1"/>
    <col min="7433" max="7680" width="8.88671875" style="8"/>
    <col min="7681" max="7681" width="1.77734375" style="8" customWidth="1"/>
    <col min="7682" max="7682" width="3.33203125" style="8" customWidth="1"/>
    <col min="7683" max="7683" width="12" style="8" customWidth="1"/>
    <col min="7684" max="7684" width="49.6640625" style="8" customWidth="1"/>
    <col min="7685" max="7685" width="6.6640625" style="8" bestFit="1" customWidth="1"/>
    <col min="7686" max="7687" width="10.33203125" style="8" customWidth="1"/>
    <col min="7688" max="7688" width="1.88671875" style="8" customWidth="1"/>
    <col min="7689" max="7936" width="8.88671875" style="8"/>
    <col min="7937" max="7937" width="1.77734375" style="8" customWidth="1"/>
    <col min="7938" max="7938" width="3.33203125" style="8" customWidth="1"/>
    <col min="7939" max="7939" width="12" style="8" customWidth="1"/>
    <col min="7940" max="7940" width="49.6640625" style="8" customWidth="1"/>
    <col min="7941" max="7941" width="6.6640625" style="8" bestFit="1" customWidth="1"/>
    <col min="7942" max="7943" width="10.33203125" style="8" customWidth="1"/>
    <col min="7944" max="7944" width="1.88671875" style="8" customWidth="1"/>
    <col min="7945" max="8192" width="8.88671875" style="8"/>
    <col min="8193" max="8193" width="1.77734375" style="8" customWidth="1"/>
    <col min="8194" max="8194" width="3.33203125" style="8" customWidth="1"/>
    <col min="8195" max="8195" width="12" style="8" customWidth="1"/>
    <col min="8196" max="8196" width="49.6640625" style="8" customWidth="1"/>
    <col min="8197" max="8197" width="6.6640625" style="8" bestFit="1" customWidth="1"/>
    <col min="8198" max="8199" width="10.33203125" style="8" customWidth="1"/>
    <col min="8200" max="8200" width="1.88671875" style="8" customWidth="1"/>
    <col min="8201" max="8448" width="8.88671875" style="8"/>
    <col min="8449" max="8449" width="1.77734375" style="8" customWidth="1"/>
    <col min="8450" max="8450" width="3.33203125" style="8" customWidth="1"/>
    <col min="8451" max="8451" width="12" style="8" customWidth="1"/>
    <col min="8452" max="8452" width="49.6640625" style="8" customWidth="1"/>
    <col min="8453" max="8453" width="6.6640625" style="8" bestFit="1" customWidth="1"/>
    <col min="8454" max="8455" width="10.33203125" style="8" customWidth="1"/>
    <col min="8456" max="8456" width="1.88671875" style="8" customWidth="1"/>
    <col min="8457" max="8704" width="8.88671875" style="8"/>
    <col min="8705" max="8705" width="1.77734375" style="8" customWidth="1"/>
    <col min="8706" max="8706" width="3.33203125" style="8" customWidth="1"/>
    <col min="8707" max="8707" width="12" style="8" customWidth="1"/>
    <col min="8708" max="8708" width="49.6640625" style="8" customWidth="1"/>
    <col min="8709" max="8709" width="6.6640625" style="8" bestFit="1" customWidth="1"/>
    <col min="8710" max="8711" width="10.33203125" style="8" customWidth="1"/>
    <col min="8712" max="8712" width="1.88671875" style="8" customWidth="1"/>
    <col min="8713" max="8960" width="8.88671875" style="8"/>
    <col min="8961" max="8961" width="1.77734375" style="8" customWidth="1"/>
    <col min="8962" max="8962" width="3.33203125" style="8" customWidth="1"/>
    <col min="8963" max="8963" width="12" style="8" customWidth="1"/>
    <col min="8964" max="8964" width="49.6640625" style="8" customWidth="1"/>
    <col min="8965" max="8965" width="6.6640625" style="8" bestFit="1" customWidth="1"/>
    <col min="8966" max="8967" width="10.33203125" style="8" customWidth="1"/>
    <col min="8968" max="8968" width="1.88671875" style="8" customWidth="1"/>
    <col min="8969" max="9216" width="8.88671875" style="8"/>
    <col min="9217" max="9217" width="1.77734375" style="8" customWidth="1"/>
    <col min="9218" max="9218" width="3.33203125" style="8" customWidth="1"/>
    <col min="9219" max="9219" width="12" style="8" customWidth="1"/>
    <col min="9220" max="9220" width="49.6640625" style="8" customWidth="1"/>
    <col min="9221" max="9221" width="6.6640625" style="8" bestFit="1" customWidth="1"/>
    <col min="9222" max="9223" width="10.33203125" style="8" customWidth="1"/>
    <col min="9224" max="9224" width="1.88671875" style="8" customWidth="1"/>
    <col min="9225" max="9472" width="8.88671875" style="8"/>
    <col min="9473" max="9473" width="1.77734375" style="8" customWidth="1"/>
    <col min="9474" max="9474" width="3.33203125" style="8" customWidth="1"/>
    <col min="9475" max="9475" width="12" style="8" customWidth="1"/>
    <col min="9476" max="9476" width="49.6640625" style="8" customWidth="1"/>
    <col min="9477" max="9477" width="6.6640625" style="8" bestFit="1" customWidth="1"/>
    <col min="9478" max="9479" width="10.33203125" style="8" customWidth="1"/>
    <col min="9480" max="9480" width="1.88671875" style="8" customWidth="1"/>
    <col min="9481" max="9728" width="8.88671875" style="8"/>
    <col min="9729" max="9729" width="1.77734375" style="8" customWidth="1"/>
    <col min="9730" max="9730" width="3.33203125" style="8" customWidth="1"/>
    <col min="9731" max="9731" width="12" style="8" customWidth="1"/>
    <col min="9732" max="9732" width="49.6640625" style="8" customWidth="1"/>
    <col min="9733" max="9733" width="6.6640625" style="8" bestFit="1" customWidth="1"/>
    <col min="9734" max="9735" width="10.33203125" style="8" customWidth="1"/>
    <col min="9736" max="9736" width="1.88671875" style="8" customWidth="1"/>
    <col min="9737" max="9984" width="8.88671875" style="8"/>
    <col min="9985" max="9985" width="1.77734375" style="8" customWidth="1"/>
    <col min="9986" max="9986" width="3.33203125" style="8" customWidth="1"/>
    <col min="9987" max="9987" width="12" style="8" customWidth="1"/>
    <col min="9988" max="9988" width="49.6640625" style="8" customWidth="1"/>
    <col min="9989" max="9989" width="6.6640625" style="8" bestFit="1" customWidth="1"/>
    <col min="9990" max="9991" width="10.33203125" style="8" customWidth="1"/>
    <col min="9992" max="9992" width="1.88671875" style="8" customWidth="1"/>
    <col min="9993" max="10240" width="8.88671875" style="8"/>
    <col min="10241" max="10241" width="1.77734375" style="8" customWidth="1"/>
    <col min="10242" max="10242" width="3.33203125" style="8" customWidth="1"/>
    <col min="10243" max="10243" width="12" style="8" customWidth="1"/>
    <col min="10244" max="10244" width="49.6640625" style="8" customWidth="1"/>
    <col min="10245" max="10245" width="6.6640625" style="8" bestFit="1" customWidth="1"/>
    <col min="10246" max="10247" width="10.33203125" style="8" customWidth="1"/>
    <col min="10248" max="10248" width="1.88671875" style="8" customWidth="1"/>
    <col min="10249" max="10496" width="8.88671875" style="8"/>
    <col min="10497" max="10497" width="1.77734375" style="8" customWidth="1"/>
    <col min="10498" max="10498" width="3.33203125" style="8" customWidth="1"/>
    <col min="10499" max="10499" width="12" style="8" customWidth="1"/>
    <col min="10500" max="10500" width="49.6640625" style="8" customWidth="1"/>
    <col min="10501" max="10501" width="6.6640625" style="8" bestFit="1" customWidth="1"/>
    <col min="10502" max="10503" width="10.33203125" style="8" customWidth="1"/>
    <col min="10504" max="10504" width="1.88671875" style="8" customWidth="1"/>
    <col min="10505" max="10752" width="8.88671875" style="8"/>
    <col min="10753" max="10753" width="1.77734375" style="8" customWidth="1"/>
    <col min="10754" max="10754" width="3.33203125" style="8" customWidth="1"/>
    <col min="10755" max="10755" width="12" style="8" customWidth="1"/>
    <col min="10756" max="10756" width="49.6640625" style="8" customWidth="1"/>
    <col min="10757" max="10757" width="6.6640625" style="8" bestFit="1" customWidth="1"/>
    <col min="10758" max="10759" width="10.33203125" style="8" customWidth="1"/>
    <col min="10760" max="10760" width="1.88671875" style="8" customWidth="1"/>
    <col min="10761" max="11008" width="8.88671875" style="8"/>
    <col min="11009" max="11009" width="1.77734375" style="8" customWidth="1"/>
    <col min="11010" max="11010" width="3.33203125" style="8" customWidth="1"/>
    <col min="11011" max="11011" width="12" style="8" customWidth="1"/>
    <col min="11012" max="11012" width="49.6640625" style="8" customWidth="1"/>
    <col min="11013" max="11013" width="6.6640625" style="8" bestFit="1" customWidth="1"/>
    <col min="11014" max="11015" width="10.33203125" style="8" customWidth="1"/>
    <col min="11016" max="11016" width="1.88671875" style="8" customWidth="1"/>
    <col min="11017" max="11264" width="8.88671875" style="8"/>
    <col min="11265" max="11265" width="1.77734375" style="8" customWidth="1"/>
    <col min="11266" max="11266" width="3.33203125" style="8" customWidth="1"/>
    <col min="11267" max="11267" width="12" style="8" customWidth="1"/>
    <col min="11268" max="11268" width="49.6640625" style="8" customWidth="1"/>
    <col min="11269" max="11269" width="6.6640625" style="8" bestFit="1" customWidth="1"/>
    <col min="11270" max="11271" width="10.33203125" style="8" customWidth="1"/>
    <col min="11272" max="11272" width="1.88671875" style="8" customWidth="1"/>
    <col min="11273" max="11520" width="8.88671875" style="8"/>
    <col min="11521" max="11521" width="1.77734375" style="8" customWidth="1"/>
    <col min="11522" max="11522" width="3.33203125" style="8" customWidth="1"/>
    <col min="11523" max="11523" width="12" style="8" customWidth="1"/>
    <col min="11524" max="11524" width="49.6640625" style="8" customWidth="1"/>
    <col min="11525" max="11525" width="6.6640625" style="8" bestFit="1" customWidth="1"/>
    <col min="11526" max="11527" width="10.33203125" style="8" customWidth="1"/>
    <col min="11528" max="11528" width="1.88671875" style="8" customWidth="1"/>
    <col min="11529" max="11776" width="8.88671875" style="8"/>
    <col min="11777" max="11777" width="1.77734375" style="8" customWidth="1"/>
    <col min="11778" max="11778" width="3.33203125" style="8" customWidth="1"/>
    <col min="11779" max="11779" width="12" style="8" customWidth="1"/>
    <col min="11780" max="11780" width="49.6640625" style="8" customWidth="1"/>
    <col min="11781" max="11781" width="6.6640625" style="8" bestFit="1" customWidth="1"/>
    <col min="11782" max="11783" width="10.33203125" style="8" customWidth="1"/>
    <col min="11784" max="11784" width="1.88671875" style="8" customWidth="1"/>
    <col min="11785" max="12032" width="8.88671875" style="8"/>
    <col min="12033" max="12033" width="1.77734375" style="8" customWidth="1"/>
    <col min="12034" max="12034" width="3.33203125" style="8" customWidth="1"/>
    <col min="12035" max="12035" width="12" style="8" customWidth="1"/>
    <col min="12036" max="12036" width="49.6640625" style="8" customWidth="1"/>
    <col min="12037" max="12037" width="6.6640625" style="8" bestFit="1" customWidth="1"/>
    <col min="12038" max="12039" width="10.33203125" style="8" customWidth="1"/>
    <col min="12040" max="12040" width="1.88671875" style="8" customWidth="1"/>
    <col min="12041" max="12288" width="8.88671875" style="8"/>
    <col min="12289" max="12289" width="1.77734375" style="8" customWidth="1"/>
    <col min="12290" max="12290" width="3.33203125" style="8" customWidth="1"/>
    <col min="12291" max="12291" width="12" style="8" customWidth="1"/>
    <col min="12292" max="12292" width="49.6640625" style="8" customWidth="1"/>
    <col min="12293" max="12293" width="6.6640625" style="8" bestFit="1" customWidth="1"/>
    <col min="12294" max="12295" width="10.33203125" style="8" customWidth="1"/>
    <col min="12296" max="12296" width="1.88671875" style="8" customWidth="1"/>
    <col min="12297" max="12544" width="8.88671875" style="8"/>
    <col min="12545" max="12545" width="1.77734375" style="8" customWidth="1"/>
    <col min="12546" max="12546" width="3.33203125" style="8" customWidth="1"/>
    <col min="12547" max="12547" width="12" style="8" customWidth="1"/>
    <col min="12548" max="12548" width="49.6640625" style="8" customWidth="1"/>
    <col min="12549" max="12549" width="6.6640625" style="8" bestFit="1" customWidth="1"/>
    <col min="12550" max="12551" width="10.33203125" style="8" customWidth="1"/>
    <col min="12552" max="12552" width="1.88671875" style="8" customWidth="1"/>
    <col min="12553" max="12800" width="8.88671875" style="8"/>
    <col min="12801" max="12801" width="1.77734375" style="8" customWidth="1"/>
    <col min="12802" max="12802" width="3.33203125" style="8" customWidth="1"/>
    <col min="12803" max="12803" width="12" style="8" customWidth="1"/>
    <col min="12804" max="12804" width="49.6640625" style="8" customWidth="1"/>
    <col min="12805" max="12805" width="6.6640625" style="8" bestFit="1" customWidth="1"/>
    <col min="12806" max="12807" width="10.33203125" style="8" customWidth="1"/>
    <col min="12808" max="12808" width="1.88671875" style="8" customWidth="1"/>
    <col min="12809" max="13056" width="8.88671875" style="8"/>
    <col min="13057" max="13057" width="1.77734375" style="8" customWidth="1"/>
    <col min="13058" max="13058" width="3.33203125" style="8" customWidth="1"/>
    <col min="13059" max="13059" width="12" style="8" customWidth="1"/>
    <col min="13060" max="13060" width="49.6640625" style="8" customWidth="1"/>
    <col min="13061" max="13061" width="6.6640625" style="8" bestFit="1" customWidth="1"/>
    <col min="13062" max="13063" width="10.33203125" style="8" customWidth="1"/>
    <col min="13064" max="13064" width="1.88671875" style="8" customWidth="1"/>
    <col min="13065" max="13312" width="8.88671875" style="8"/>
    <col min="13313" max="13313" width="1.77734375" style="8" customWidth="1"/>
    <col min="13314" max="13314" width="3.33203125" style="8" customWidth="1"/>
    <col min="13315" max="13315" width="12" style="8" customWidth="1"/>
    <col min="13316" max="13316" width="49.6640625" style="8" customWidth="1"/>
    <col min="13317" max="13317" width="6.6640625" style="8" bestFit="1" customWidth="1"/>
    <col min="13318" max="13319" width="10.33203125" style="8" customWidth="1"/>
    <col min="13320" max="13320" width="1.88671875" style="8" customWidth="1"/>
    <col min="13321" max="13568" width="8.88671875" style="8"/>
    <col min="13569" max="13569" width="1.77734375" style="8" customWidth="1"/>
    <col min="13570" max="13570" width="3.33203125" style="8" customWidth="1"/>
    <col min="13571" max="13571" width="12" style="8" customWidth="1"/>
    <col min="13572" max="13572" width="49.6640625" style="8" customWidth="1"/>
    <col min="13573" max="13573" width="6.6640625" style="8" bestFit="1" customWidth="1"/>
    <col min="13574" max="13575" width="10.33203125" style="8" customWidth="1"/>
    <col min="13576" max="13576" width="1.88671875" style="8" customWidth="1"/>
    <col min="13577" max="13824" width="8.88671875" style="8"/>
    <col min="13825" max="13825" width="1.77734375" style="8" customWidth="1"/>
    <col min="13826" max="13826" width="3.33203125" style="8" customWidth="1"/>
    <col min="13827" max="13827" width="12" style="8" customWidth="1"/>
    <col min="13828" max="13828" width="49.6640625" style="8" customWidth="1"/>
    <col min="13829" max="13829" width="6.6640625" style="8" bestFit="1" customWidth="1"/>
    <col min="13830" max="13831" width="10.33203125" style="8" customWidth="1"/>
    <col min="13832" max="13832" width="1.88671875" style="8" customWidth="1"/>
    <col min="13833" max="14080" width="8.88671875" style="8"/>
    <col min="14081" max="14081" width="1.77734375" style="8" customWidth="1"/>
    <col min="14082" max="14082" width="3.33203125" style="8" customWidth="1"/>
    <col min="14083" max="14083" width="12" style="8" customWidth="1"/>
    <col min="14084" max="14084" width="49.6640625" style="8" customWidth="1"/>
    <col min="14085" max="14085" width="6.6640625" style="8" bestFit="1" customWidth="1"/>
    <col min="14086" max="14087" width="10.33203125" style="8" customWidth="1"/>
    <col min="14088" max="14088" width="1.88671875" style="8" customWidth="1"/>
    <col min="14089" max="14336" width="8.88671875" style="8"/>
    <col min="14337" max="14337" width="1.77734375" style="8" customWidth="1"/>
    <col min="14338" max="14338" width="3.33203125" style="8" customWidth="1"/>
    <col min="14339" max="14339" width="12" style="8" customWidth="1"/>
    <col min="14340" max="14340" width="49.6640625" style="8" customWidth="1"/>
    <col min="14341" max="14341" width="6.6640625" style="8" bestFit="1" customWidth="1"/>
    <col min="14342" max="14343" width="10.33203125" style="8" customWidth="1"/>
    <col min="14344" max="14344" width="1.88671875" style="8" customWidth="1"/>
    <col min="14345" max="14592" width="8.88671875" style="8"/>
    <col min="14593" max="14593" width="1.77734375" style="8" customWidth="1"/>
    <col min="14594" max="14594" width="3.33203125" style="8" customWidth="1"/>
    <col min="14595" max="14595" width="12" style="8" customWidth="1"/>
    <col min="14596" max="14596" width="49.6640625" style="8" customWidth="1"/>
    <col min="14597" max="14597" width="6.6640625" style="8" bestFit="1" customWidth="1"/>
    <col min="14598" max="14599" width="10.33203125" style="8" customWidth="1"/>
    <col min="14600" max="14600" width="1.88671875" style="8" customWidth="1"/>
    <col min="14601" max="14848" width="8.88671875" style="8"/>
    <col min="14849" max="14849" width="1.77734375" style="8" customWidth="1"/>
    <col min="14850" max="14850" width="3.33203125" style="8" customWidth="1"/>
    <col min="14851" max="14851" width="12" style="8" customWidth="1"/>
    <col min="14852" max="14852" width="49.6640625" style="8" customWidth="1"/>
    <col min="14853" max="14853" width="6.6640625" style="8" bestFit="1" customWidth="1"/>
    <col min="14854" max="14855" width="10.33203125" style="8" customWidth="1"/>
    <col min="14856" max="14856" width="1.88671875" style="8" customWidth="1"/>
    <col min="14857" max="15104" width="8.88671875" style="8"/>
    <col min="15105" max="15105" width="1.77734375" style="8" customWidth="1"/>
    <col min="15106" max="15106" width="3.33203125" style="8" customWidth="1"/>
    <col min="15107" max="15107" width="12" style="8" customWidth="1"/>
    <col min="15108" max="15108" width="49.6640625" style="8" customWidth="1"/>
    <col min="15109" max="15109" width="6.6640625" style="8" bestFit="1" customWidth="1"/>
    <col min="15110" max="15111" width="10.33203125" style="8" customWidth="1"/>
    <col min="15112" max="15112" width="1.88671875" style="8" customWidth="1"/>
    <col min="15113" max="15360" width="8.88671875" style="8"/>
    <col min="15361" max="15361" width="1.77734375" style="8" customWidth="1"/>
    <col min="15362" max="15362" width="3.33203125" style="8" customWidth="1"/>
    <col min="15363" max="15363" width="12" style="8" customWidth="1"/>
    <col min="15364" max="15364" width="49.6640625" style="8" customWidth="1"/>
    <col min="15365" max="15365" width="6.6640625" style="8" bestFit="1" customWidth="1"/>
    <col min="15366" max="15367" width="10.33203125" style="8" customWidth="1"/>
    <col min="15368" max="15368" width="1.88671875" style="8" customWidth="1"/>
    <col min="15369" max="15616" width="8.88671875" style="8"/>
    <col min="15617" max="15617" width="1.77734375" style="8" customWidth="1"/>
    <col min="15618" max="15618" width="3.33203125" style="8" customWidth="1"/>
    <col min="15619" max="15619" width="12" style="8" customWidth="1"/>
    <col min="15620" max="15620" width="49.6640625" style="8" customWidth="1"/>
    <col min="15621" max="15621" width="6.6640625" style="8" bestFit="1" customWidth="1"/>
    <col min="15622" max="15623" width="10.33203125" style="8" customWidth="1"/>
    <col min="15624" max="15624" width="1.88671875" style="8" customWidth="1"/>
    <col min="15625" max="15872" width="8.88671875" style="8"/>
    <col min="15873" max="15873" width="1.77734375" style="8" customWidth="1"/>
    <col min="15874" max="15874" width="3.33203125" style="8" customWidth="1"/>
    <col min="15875" max="15875" width="12" style="8" customWidth="1"/>
    <col min="15876" max="15876" width="49.6640625" style="8" customWidth="1"/>
    <col min="15877" max="15877" width="6.6640625" style="8" bestFit="1" customWidth="1"/>
    <col min="15878" max="15879" width="10.33203125" style="8" customWidth="1"/>
    <col min="15880" max="15880" width="1.88671875" style="8" customWidth="1"/>
    <col min="15881" max="16128" width="8.88671875" style="8"/>
    <col min="16129" max="16129" width="1.77734375" style="8" customWidth="1"/>
    <col min="16130" max="16130" width="3.33203125" style="8" customWidth="1"/>
    <col min="16131" max="16131" width="12" style="8" customWidth="1"/>
    <col min="16132" max="16132" width="49.6640625" style="8" customWidth="1"/>
    <col min="16133" max="16133" width="6.6640625" style="8" bestFit="1" customWidth="1"/>
    <col min="16134" max="16135" width="10.33203125" style="8" customWidth="1"/>
    <col min="16136" max="16136" width="1.88671875" style="8" customWidth="1"/>
    <col min="16137" max="16384" width="8.88671875" style="8"/>
  </cols>
  <sheetData>
    <row r="1" spans="1:8">
      <c r="A1" s="1"/>
      <c r="B1" s="2"/>
      <c r="C1" s="3"/>
      <c r="D1" s="4"/>
      <c r="E1" s="5"/>
      <c r="F1" s="6"/>
      <c r="G1" s="6"/>
      <c r="H1" s="7"/>
    </row>
    <row r="2" spans="1:8" s="11" customFormat="1" ht="13.5">
      <c r="A2" s="9"/>
      <c r="B2" s="10"/>
      <c r="D2" s="12"/>
      <c r="E2" s="13"/>
      <c r="F2" s="14"/>
      <c r="G2" s="14"/>
      <c r="H2" s="15"/>
    </row>
    <row r="3" spans="1:8" s="11" customFormat="1" ht="13.5">
      <c r="A3" s="9"/>
      <c r="B3" s="10"/>
      <c r="D3" s="12"/>
      <c r="E3" s="13"/>
      <c r="F3" s="14"/>
      <c r="G3" s="14"/>
      <c r="H3" s="15"/>
    </row>
    <row r="4" spans="1:8" s="11" customFormat="1" ht="13.5">
      <c r="A4" s="9"/>
      <c r="B4" s="10"/>
      <c r="D4" s="12"/>
      <c r="E4" s="13"/>
      <c r="F4" s="14"/>
      <c r="G4" s="14"/>
      <c r="H4" s="15"/>
    </row>
    <row r="5" spans="1:8" s="11" customFormat="1" ht="13.5">
      <c r="A5" s="9"/>
      <c r="B5" s="10"/>
      <c r="D5" s="12"/>
      <c r="E5" s="13"/>
      <c r="F5" s="14"/>
      <c r="G5" s="14"/>
      <c r="H5" s="15"/>
    </row>
    <row r="6" spans="1:8" s="11" customFormat="1" ht="13.5">
      <c r="A6" s="9"/>
      <c r="B6" s="10"/>
      <c r="D6" s="12"/>
      <c r="E6" s="13"/>
      <c r="F6" s="14"/>
      <c r="G6" s="14"/>
      <c r="H6" s="15"/>
    </row>
    <row r="7" spans="1:8" s="11" customFormat="1" ht="13.5">
      <c r="A7" s="9"/>
      <c r="B7" s="10"/>
      <c r="D7" s="12"/>
      <c r="E7" s="13"/>
      <c r="F7" s="14"/>
      <c r="G7" s="14"/>
      <c r="H7" s="15"/>
    </row>
    <row r="8" spans="1:8" s="11" customFormat="1" ht="14.45" customHeight="1">
      <c r="A8" s="9"/>
      <c r="B8" s="10"/>
      <c r="C8" s="16" t="s">
        <v>0</v>
      </c>
      <c r="D8" s="12" t="s">
        <v>51</v>
      </c>
      <c r="E8" s="13"/>
      <c r="F8" s="14"/>
      <c r="G8" s="14"/>
      <c r="H8" s="15"/>
    </row>
    <row r="9" spans="1:8" s="11" customFormat="1" ht="15.6" customHeight="1">
      <c r="A9" s="9"/>
      <c r="B9" s="10"/>
      <c r="C9" s="16" t="s">
        <v>1</v>
      </c>
      <c r="D9" s="12" t="s">
        <v>49</v>
      </c>
      <c r="E9" s="13"/>
      <c r="F9" s="14"/>
      <c r="G9" s="14"/>
      <c r="H9" s="15"/>
    </row>
    <row r="10" spans="1:8" s="11" customFormat="1" ht="13.5">
      <c r="A10" s="9"/>
      <c r="B10" s="10"/>
      <c r="C10" s="16" t="s">
        <v>2</v>
      </c>
      <c r="D10" s="12" t="s">
        <v>50</v>
      </c>
      <c r="E10" s="13"/>
      <c r="F10" s="14"/>
      <c r="G10" s="14"/>
      <c r="H10" s="15"/>
    </row>
    <row r="11" spans="1:8" s="11" customFormat="1" ht="13.5">
      <c r="A11" s="9"/>
      <c r="B11" s="10"/>
      <c r="C11" s="16" t="s">
        <v>3</v>
      </c>
      <c r="D11" s="12" t="s">
        <v>25</v>
      </c>
      <c r="E11" s="13"/>
      <c r="F11" s="11" t="s">
        <v>4</v>
      </c>
      <c r="H11" s="15"/>
    </row>
    <row r="12" spans="1:8" s="11" customFormat="1" ht="13.5">
      <c r="A12" s="9"/>
      <c r="B12" s="10"/>
      <c r="C12" s="17"/>
      <c r="D12" s="12"/>
      <c r="E12" s="13"/>
      <c r="F12" s="11" t="s">
        <v>5</v>
      </c>
      <c r="H12" s="15"/>
    </row>
    <row r="13" spans="1:8" s="11" customFormat="1" ht="13.5">
      <c r="A13" s="9"/>
      <c r="B13" s="10"/>
      <c r="C13" s="17"/>
      <c r="D13" s="12"/>
      <c r="E13" s="13"/>
      <c r="F13" s="11" t="s">
        <v>6</v>
      </c>
      <c r="H13" s="15"/>
    </row>
    <row r="14" spans="1:8" s="11" customFormat="1" ht="13.5">
      <c r="A14" s="9"/>
      <c r="B14" s="10"/>
      <c r="C14" s="18" t="s">
        <v>54</v>
      </c>
      <c r="D14" s="12"/>
      <c r="E14" s="13"/>
      <c r="F14" s="11" t="s">
        <v>7</v>
      </c>
      <c r="H14" s="15"/>
    </row>
    <row r="15" spans="1:8" s="11" customFormat="1" ht="13.5">
      <c r="A15" s="9"/>
      <c r="B15" s="10"/>
      <c r="C15" s="18" t="s">
        <v>8</v>
      </c>
      <c r="D15" s="12"/>
      <c r="E15" s="13"/>
      <c r="F15" s="11" t="s">
        <v>9</v>
      </c>
      <c r="H15" s="15"/>
    </row>
    <row r="16" spans="1:8" s="11" customFormat="1" ht="13.5">
      <c r="A16" s="9"/>
      <c r="B16" s="19"/>
      <c r="C16" s="20"/>
      <c r="D16" s="21"/>
      <c r="E16" s="13"/>
      <c r="F16" s="14"/>
      <c r="G16" s="14"/>
      <c r="H16" s="15"/>
    </row>
    <row r="17" spans="1:12" s="10" customFormat="1" ht="13.5">
      <c r="A17" s="22"/>
      <c r="B17" s="23" t="s">
        <v>10</v>
      </c>
      <c r="C17" s="24"/>
      <c r="D17" s="25" t="s">
        <v>11</v>
      </c>
      <c r="E17" s="26" t="s">
        <v>12</v>
      </c>
      <c r="F17" s="26" t="s">
        <v>13</v>
      </c>
      <c r="G17" s="27" t="s">
        <v>14</v>
      </c>
      <c r="H17" s="28"/>
    </row>
    <row r="18" spans="1:12" s="11" customFormat="1" ht="14.45" customHeight="1">
      <c r="A18" s="9"/>
      <c r="B18" s="29">
        <v>1</v>
      </c>
      <c r="C18" s="30"/>
      <c r="D18" s="69" t="s">
        <v>41</v>
      </c>
      <c r="E18" s="31">
        <v>1</v>
      </c>
      <c r="F18" s="32">
        <f>G18/E18</f>
        <v>34000000</v>
      </c>
      <c r="G18" s="33">
        <v>34000000</v>
      </c>
      <c r="H18" s="34"/>
      <c r="I18" s="35"/>
      <c r="J18" s="35"/>
      <c r="L18" s="36"/>
    </row>
    <row r="19" spans="1:12" s="11" customFormat="1" ht="15" customHeight="1">
      <c r="A19" s="9"/>
      <c r="B19" s="29"/>
      <c r="C19" s="37"/>
      <c r="D19" s="70" t="s">
        <v>29</v>
      </c>
      <c r="E19" s="31"/>
      <c r="F19" s="32"/>
      <c r="G19" s="33"/>
      <c r="H19" s="38"/>
      <c r="I19" s="35"/>
      <c r="J19" s="35"/>
    </row>
    <row r="20" spans="1:12" s="11" customFormat="1" ht="15" customHeight="1">
      <c r="A20" s="9"/>
      <c r="B20" s="39"/>
      <c r="C20" s="37"/>
      <c r="D20" s="71" t="s">
        <v>43</v>
      </c>
      <c r="E20" s="31">
        <v>3</v>
      </c>
      <c r="F20" s="40"/>
      <c r="G20" s="33"/>
      <c r="H20" s="41"/>
      <c r="J20" s="35"/>
      <c r="K20" s="35"/>
      <c r="L20" s="36"/>
    </row>
    <row r="21" spans="1:12" s="11" customFormat="1" ht="15" customHeight="1">
      <c r="A21" s="9"/>
      <c r="B21" s="39"/>
      <c r="C21" s="42"/>
      <c r="D21" s="71" t="s">
        <v>42</v>
      </c>
      <c r="E21" s="31">
        <v>3</v>
      </c>
      <c r="F21" s="40"/>
      <c r="G21" s="43"/>
      <c r="H21" s="41"/>
      <c r="K21" s="35"/>
    </row>
    <row r="22" spans="1:12" s="11" customFormat="1" ht="15" customHeight="1">
      <c r="A22" s="9"/>
      <c r="B22" s="39"/>
      <c r="C22" s="42"/>
      <c r="D22" s="71" t="s">
        <v>44</v>
      </c>
      <c r="E22" s="44">
        <v>3</v>
      </c>
      <c r="F22" s="32"/>
      <c r="G22" s="33"/>
      <c r="H22" s="41"/>
    </row>
    <row r="23" spans="1:12" s="11" customFormat="1" ht="15" customHeight="1">
      <c r="A23" s="9"/>
      <c r="B23" s="39"/>
      <c r="C23" s="42"/>
      <c r="D23" s="71" t="s">
        <v>45</v>
      </c>
      <c r="E23" s="44">
        <v>3</v>
      </c>
      <c r="F23" s="32"/>
      <c r="G23" s="43"/>
      <c r="H23" s="41"/>
    </row>
    <row r="24" spans="1:12" s="11" customFormat="1" ht="15" customHeight="1">
      <c r="A24" s="9"/>
      <c r="B24" s="39"/>
      <c r="C24" s="42"/>
      <c r="D24" s="71" t="s">
        <v>46</v>
      </c>
      <c r="E24" s="44">
        <v>3</v>
      </c>
      <c r="F24" s="40"/>
      <c r="G24" s="33"/>
      <c r="H24" s="41"/>
    </row>
    <row r="25" spans="1:12" s="11" customFormat="1" ht="15" customHeight="1">
      <c r="A25" s="9"/>
      <c r="B25" s="39"/>
      <c r="C25" s="42"/>
      <c r="D25" s="71" t="s">
        <v>47</v>
      </c>
      <c r="E25" s="44">
        <v>3</v>
      </c>
      <c r="F25" s="40"/>
      <c r="G25" s="43"/>
      <c r="H25" s="41"/>
    </row>
    <row r="26" spans="1:12" s="11" customFormat="1" ht="22.5" customHeight="1">
      <c r="A26" s="9"/>
      <c r="B26" s="73" t="s">
        <v>16</v>
      </c>
      <c r="C26" s="73"/>
      <c r="D26" s="73"/>
      <c r="E26" s="49"/>
      <c r="F26" s="50">
        <f>SUM(F17:F20)</f>
        <v>34000000</v>
      </c>
      <c r="G26" s="50">
        <f>SUM(G17:G20)</f>
        <v>34000000</v>
      </c>
      <c r="H26" s="15"/>
    </row>
    <row r="27" spans="1:12" s="11" customFormat="1" ht="22.5" customHeight="1">
      <c r="A27" s="9"/>
      <c r="B27" s="73" t="s">
        <v>17</v>
      </c>
      <c r="C27" s="73"/>
      <c r="D27" s="73"/>
      <c r="E27" s="49"/>
      <c r="F27" s="50">
        <f>F26*1.1</f>
        <v>37400000</v>
      </c>
      <c r="G27" s="50">
        <f>G26*1.1</f>
        <v>37400000</v>
      </c>
      <c r="H27" s="15"/>
    </row>
    <row r="28" spans="1:12" s="11" customFormat="1" ht="12" customHeight="1">
      <c r="A28" s="9"/>
      <c r="B28" s="51"/>
      <c r="C28" s="51"/>
      <c r="D28" s="51"/>
      <c r="E28" s="52"/>
      <c r="F28" s="52"/>
      <c r="G28" s="52"/>
      <c r="H28" s="15"/>
    </row>
    <row r="29" spans="1:12" s="11" customFormat="1" ht="12" customHeight="1">
      <c r="A29" s="9"/>
      <c r="B29" s="51"/>
      <c r="C29" s="51"/>
      <c r="D29" s="51"/>
      <c r="E29" s="52"/>
      <c r="F29" s="52"/>
      <c r="G29" s="52"/>
      <c r="H29" s="15"/>
    </row>
    <row r="30" spans="1:12" s="11" customFormat="1" ht="12" customHeight="1">
      <c r="A30" s="9"/>
      <c r="B30" s="51"/>
      <c r="C30" s="16" t="s">
        <v>27</v>
      </c>
      <c r="D30" s="53" t="s">
        <v>28</v>
      </c>
      <c r="E30" s="52"/>
      <c r="F30" s="52"/>
      <c r="G30" s="52"/>
      <c r="H30" s="15"/>
    </row>
    <row r="31" spans="1:12" s="11" customFormat="1" ht="15" customHeight="1">
      <c r="A31" s="9"/>
      <c r="C31" s="16" t="s">
        <v>18</v>
      </c>
      <c r="D31" s="53" t="s">
        <v>52</v>
      </c>
      <c r="E31" s="52"/>
      <c r="F31" s="52"/>
      <c r="G31" s="52"/>
      <c r="H31" s="15"/>
    </row>
    <row r="32" spans="1:12" s="11" customFormat="1" ht="15" customHeight="1">
      <c r="A32" s="9"/>
      <c r="C32" s="16" t="s">
        <v>20</v>
      </c>
      <c r="D32" s="53" t="s">
        <v>21</v>
      </c>
      <c r="E32" s="52"/>
      <c r="F32" s="52"/>
      <c r="G32" s="52"/>
      <c r="H32" s="15"/>
    </row>
    <row r="33" spans="1:8" s="11" customFormat="1" ht="13.5">
      <c r="A33" s="9"/>
      <c r="C33" s="16" t="s">
        <v>22</v>
      </c>
      <c r="D33" s="54" t="s">
        <v>23</v>
      </c>
      <c r="E33" s="52"/>
      <c r="F33" s="52"/>
      <c r="G33" s="52"/>
      <c r="H33" s="15"/>
    </row>
    <row r="34" spans="1:8" s="11" customFormat="1" ht="13.5">
      <c r="A34" s="9"/>
      <c r="C34" s="16" t="s">
        <v>3</v>
      </c>
      <c r="D34" s="54" t="s">
        <v>24</v>
      </c>
      <c r="E34" s="52"/>
      <c r="F34" s="52"/>
      <c r="G34" s="52"/>
      <c r="H34" s="15"/>
    </row>
    <row r="35" spans="1:8" s="11" customFormat="1" ht="13.5">
      <c r="A35" s="9"/>
      <c r="C35" s="16"/>
      <c r="D35" s="54"/>
      <c r="E35" s="52"/>
      <c r="F35" s="52"/>
      <c r="G35" s="52"/>
      <c r="H35" s="15"/>
    </row>
    <row r="36" spans="1:8" s="11" customFormat="1" ht="12" customHeight="1">
      <c r="A36" s="9"/>
      <c r="B36" s="54"/>
      <c r="C36" s="52"/>
      <c r="D36" s="52"/>
      <c r="E36" s="52"/>
      <c r="F36" s="52"/>
      <c r="G36" s="52"/>
      <c r="H36" s="15"/>
    </row>
    <row r="37" spans="1:8" s="62" customFormat="1" ht="14.25" thickBot="1">
      <c r="A37" s="55"/>
      <c r="B37" s="56"/>
      <c r="C37" s="57"/>
      <c r="D37" s="58"/>
      <c r="E37" s="59"/>
      <c r="F37" s="60"/>
      <c r="G37" s="60"/>
      <c r="H37" s="61"/>
    </row>
    <row r="38" spans="1:8" s="62" customFormat="1" ht="13.5">
      <c r="A38" s="11"/>
      <c r="B38" s="10"/>
      <c r="C38" s="11"/>
      <c r="D38" s="12"/>
      <c r="E38" s="13"/>
      <c r="F38" s="14"/>
      <c r="G38" s="14"/>
    </row>
  </sheetData>
  <mergeCells count="2">
    <mergeCell ref="B26:D26"/>
    <mergeCell ref="B27:D27"/>
  </mergeCells>
  <phoneticPr fontId="3" type="noConversion"/>
  <pageMargins left="0.24" right="0.16" top="0.87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모바일단말관리</vt:lpstr>
      <vt:lpstr>ASP SY</vt:lpstr>
      <vt:lpstr>'ASP SY'!Print_Area</vt:lpstr>
      <vt:lpstr>모바일단말관리!Print_Area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박지혜</dc:creator>
  <cp:lastModifiedBy>박지혜</cp:lastModifiedBy>
  <cp:lastPrinted>2026-04-07T08:25:16Z</cp:lastPrinted>
  <dcterms:created xsi:type="dcterms:W3CDTF">2026-03-30T07:21:53Z</dcterms:created>
  <dcterms:modified xsi:type="dcterms:W3CDTF">2026-04-08T00:24:48Z</dcterms:modified>
</cp:coreProperties>
</file>