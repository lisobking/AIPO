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k\work\ARA\2.아라ICT\1.업무\1. 견적서\1. 견적서\2026년\"/>
    </mc:Choice>
  </mc:AlternateContent>
  <xr:revisionPtr revIDLastSave="0" documentId="8_{4C03139E-B6A8-428F-A01F-3C63D132AD0A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모바일단말관리" sheetId="2" r:id="rId1"/>
    <sheet name="ASP 5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" i="2" l="1"/>
  <c r="G20" i="3" l="1"/>
  <c r="G29" i="3" s="1"/>
  <c r="G18" i="3"/>
  <c r="G18" i="2"/>
  <c r="F29" i="3" l="1"/>
  <c r="F31" i="3" s="1"/>
  <c r="C15" i="3" s="1"/>
  <c r="D15" i="3" s="1"/>
  <c r="F39" i="2"/>
  <c r="F41" i="2" s="1"/>
  <c r="G39" i="2" l="1"/>
  <c r="C15" i="2" s="1"/>
  <c r="D15" i="2" s="1"/>
</calcChain>
</file>

<file path=xl/sharedStrings.xml><?xml version="1.0" encoding="utf-8"?>
<sst xmlns="http://schemas.openxmlformats.org/spreadsheetml/2006/main" count="116" uniqueCount="61">
  <si>
    <t>見   積   書</t>
    <phoneticPr fontId="4" type="noConversion"/>
  </si>
  <si>
    <t xml:space="preserve">            ■  등 록 번 호 : 3 1 4 - 2 4 - 4 6 0 6 5 </t>
    <phoneticPr fontId="4" type="noConversion"/>
  </si>
  <si>
    <t xml:space="preserve"> ■  전      화 :  </t>
    <phoneticPr fontId="17" type="noConversion"/>
  </si>
  <si>
    <t xml:space="preserve">            ■  상         호 :  아 라  I  C T</t>
    <phoneticPr fontId="4" type="noConversion"/>
  </si>
  <si>
    <t xml:space="preserve"> ■  팩     스  :  </t>
    <phoneticPr fontId="4" type="noConversion"/>
  </si>
  <si>
    <t xml:space="preserve">            ■  영 업 담 당 : 박        승        엽</t>
    <phoneticPr fontId="4" type="noConversion"/>
  </si>
  <si>
    <t xml:space="preserve">            ■  메         일 : ara992@araict.com</t>
    <phoneticPr fontId="4" type="noConversion"/>
  </si>
  <si>
    <t xml:space="preserve"> 다음과 같이 견적합니다.</t>
    <phoneticPr fontId="4" type="noConversion"/>
  </si>
  <si>
    <t xml:space="preserve"> </t>
    <phoneticPr fontId="4" type="noConversion"/>
  </si>
  <si>
    <t xml:space="preserve"> ■  견 적   금 액  :</t>
    <phoneticPr fontId="4" type="noConversion"/>
  </si>
  <si>
    <t>품목</t>
  </si>
  <si>
    <t>모델번호</t>
  </si>
  <si>
    <r>
      <t>품</t>
    </r>
    <r>
      <rPr>
        <b/>
        <sz val="10"/>
        <rFont val="Helvetica-Narrow"/>
        <family val="2"/>
      </rPr>
      <t xml:space="preserve">               </t>
    </r>
    <r>
      <rPr>
        <b/>
        <sz val="10"/>
        <rFont val="굴림"/>
        <family val="3"/>
        <charset val="129"/>
      </rPr>
      <t>명</t>
    </r>
  </si>
  <si>
    <t>공급가</t>
    <phoneticPr fontId="4" type="noConversion"/>
  </si>
  <si>
    <r>
      <t>수</t>
    </r>
    <r>
      <rPr>
        <b/>
        <sz val="10"/>
        <rFont val="Helvetica-Narrow"/>
        <family val="2"/>
      </rPr>
      <t xml:space="preserve"> </t>
    </r>
    <r>
      <rPr>
        <b/>
        <sz val="10"/>
        <rFont val="굴림"/>
        <family val="3"/>
        <charset val="129"/>
      </rPr>
      <t>량</t>
    </r>
  </si>
  <si>
    <r>
      <t>금</t>
    </r>
    <r>
      <rPr>
        <b/>
        <sz val="10"/>
        <rFont val="Helvetica-Narrow"/>
        <family val="2"/>
      </rPr>
      <t xml:space="preserve">      </t>
    </r>
    <r>
      <rPr>
        <b/>
        <sz val="10"/>
        <rFont val="굴림"/>
        <family val="3"/>
        <charset val="129"/>
      </rPr>
      <t>액</t>
    </r>
  </si>
  <si>
    <t>ITEM</t>
    <phoneticPr fontId="4" type="noConversion"/>
  </si>
  <si>
    <t>MODEL NO.</t>
  </si>
  <si>
    <t>DESCRIPTION</t>
  </si>
  <si>
    <t>U/PRICE</t>
    <phoneticPr fontId="4" type="noConversion"/>
  </si>
  <si>
    <t>Q'TY</t>
  </si>
  <si>
    <t>AMOUNT</t>
  </si>
  <si>
    <t>&lt; 참조 &gt;</t>
    <phoneticPr fontId="4" type="noConversion"/>
  </si>
  <si>
    <t>공 급 가  계</t>
    <phoneticPr fontId="4" type="noConversion"/>
  </si>
  <si>
    <t>부가가치 세</t>
    <phoneticPr fontId="4" type="noConversion"/>
  </si>
  <si>
    <t>포함</t>
    <phoneticPr fontId="4" type="noConversion"/>
  </si>
  <si>
    <t>총    합    계</t>
    <phoneticPr fontId="4" type="noConversion"/>
  </si>
  <si>
    <t xml:space="preserve">            ■  주         소 : 대전시 유성구 노운동 553-8 스타돔 </t>
    <phoneticPr fontId="4" type="noConversion"/>
  </si>
  <si>
    <t xml:space="preserve"> </t>
    <phoneticPr fontId="4" type="noConversion"/>
  </si>
  <si>
    <t xml:space="preserve"> ■  담  당 자 : 담당자 </t>
    <phoneticPr fontId="4" type="noConversion"/>
  </si>
  <si>
    <t xml:space="preserve"> ■  메     일  :   </t>
    <phoneticPr fontId="4" type="noConversion"/>
  </si>
  <si>
    <t>이하여백 *************************</t>
  </si>
  <si>
    <t xml:space="preserve"> </t>
    <phoneticPr fontId="4" type="noConversion"/>
  </si>
  <si>
    <t>■  견적문의 : 박   승   엽  (Tel : 042 - 822- 4423   Mail: ara992@araict.com     Mobile : 010- 6624 -4425)</t>
    <phoneticPr fontId="4" type="noConversion"/>
  </si>
  <si>
    <t xml:space="preserve"> T O :가온아이 귀중</t>
    <phoneticPr fontId="4" type="noConversion"/>
  </si>
  <si>
    <t xml:space="preserve">TouchEn mTranskey for Android </t>
    <phoneticPr fontId="4" type="noConversion"/>
  </si>
  <si>
    <t xml:space="preserve"> </t>
    <phoneticPr fontId="4" type="noConversion"/>
  </si>
  <si>
    <r>
      <rPr>
        <b/>
        <sz val="9"/>
        <rFont val="맑은 고딕"/>
        <family val="2"/>
        <charset val="129"/>
      </rPr>
      <t>제품구성</t>
    </r>
    <r>
      <rPr>
        <b/>
        <sz val="9"/>
        <rFont val="Helvetica-Narrow"/>
        <family val="2"/>
      </rPr>
      <t xml:space="preserve"> </t>
    </r>
    <phoneticPr fontId="4" type="noConversion"/>
  </si>
  <si>
    <t>TouchEn mTranskey for IOS</t>
    <phoneticPr fontId="4" type="noConversion"/>
  </si>
  <si>
    <t xml:space="preserve">TouchEn mVaccine for Android </t>
    <phoneticPr fontId="4" type="noConversion"/>
  </si>
  <si>
    <t>TouchEn mVaccine for IOS</t>
    <phoneticPr fontId="4" type="noConversion"/>
  </si>
  <si>
    <t>TouchEn AppIron for Android</t>
    <phoneticPr fontId="4" type="noConversion"/>
  </si>
  <si>
    <t>TouchEn AppIron for IOS</t>
    <phoneticPr fontId="4" type="noConversion"/>
  </si>
  <si>
    <t xml:space="preserve"> 5Y이후 유지보수 유상 (계약금액 12%)</t>
    <phoneticPr fontId="4" type="noConversion"/>
  </si>
  <si>
    <t xml:space="preserve">모바일 백신의 경우 100% </t>
    <phoneticPr fontId="4" type="noConversion"/>
  </si>
  <si>
    <t xml:space="preserve">업그레이드 minor 범위포함, Major 추가견적필요 </t>
    <phoneticPr fontId="4" type="noConversion"/>
  </si>
  <si>
    <t>OneGuard MDM v1.2 Server_(SW)</t>
    <phoneticPr fontId="4" type="noConversion"/>
  </si>
  <si>
    <t>정책관리 및 관리자 모드</t>
    <phoneticPr fontId="4" type="noConversion"/>
  </si>
  <si>
    <t>정책관리 및 단말관리</t>
    <phoneticPr fontId="4" type="noConversion"/>
  </si>
  <si>
    <t>대쉬보드 및 현황</t>
    <phoneticPr fontId="4" type="noConversion"/>
  </si>
  <si>
    <t>담말 기기제어 기능</t>
    <phoneticPr fontId="4" type="noConversion"/>
  </si>
  <si>
    <t>데이터 삭제, 백업, 복구기능</t>
    <phoneticPr fontId="4" type="noConversion"/>
  </si>
  <si>
    <t xml:space="preserve">SPS기반 위치 조회   </t>
    <phoneticPr fontId="4" type="noConversion"/>
  </si>
  <si>
    <t>소프트웨어 배포 및 설치 관리</t>
    <phoneticPr fontId="4" type="noConversion"/>
  </si>
  <si>
    <t>OneGuard MDM, v1.2 Client</t>
    <phoneticPr fontId="4" type="noConversion"/>
  </si>
  <si>
    <t>지원 OS : IOS , Android</t>
    <phoneticPr fontId="4" type="noConversion"/>
  </si>
  <si>
    <t>단말 제어기능 (화면, 기기잠금, 해제, 초기화)</t>
    <phoneticPr fontId="4" type="noConversion"/>
  </si>
  <si>
    <t xml:space="preserve"> T O : 가온아이 귀중</t>
    <phoneticPr fontId="4" type="noConversion"/>
  </si>
  <si>
    <r>
      <rPr>
        <b/>
        <sz val="9"/>
        <rFont val="맑은 고딕"/>
        <family val="3"/>
        <charset val="129"/>
      </rPr>
      <t>모바일</t>
    </r>
    <r>
      <rPr>
        <b/>
        <sz val="9"/>
        <rFont val="Arial"/>
        <family val="2"/>
      </rPr>
      <t xml:space="preserve"> </t>
    </r>
    <r>
      <rPr>
        <b/>
        <sz val="9"/>
        <rFont val="맑은 고딕"/>
        <family val="3"/>
        <charset val="129"/>
      </rPr>
      <t>단말관리</t>
    </r>
    <r>
      <rPr>
        <b/>
        <sz val="9"/>
        <rFont val="Arial"/>
        <family val="2"/>
      </rPr>
      <t xml:space="preserve"> OneGuard MDM </t>
    </r>
    <r>
      <rPr>
        <b/>
        <sz val="9"/>
        <rFont val="Helvetica-Narrow"/>
        <family val="2"/>
      </rPr>
      <t>MA 1Y</t>
    </r>
    <phoneticPr fontId="4" type="noConversion"/>
  </si>
  <si>
    <r>
      <rPr>
        <b/>
        <sz val="9"/>
        <rFont val="맑은 고딕"/>
        <family val="3"/>
        <charset val="129"/>
      </rPr>
      <t>보안솔루션</t>
    </r>
    <r>
      <rPr>
        <b/>
        <sz val="9"/>
        <rFont val="Arial"/>
        <family val="2"/>
      </rPr>
      <t xml:space="preserve"> ASP_5Y 2</t>
    </r>
    <r>
      <rPr>
        <b/>
        <sz val="9"/>
        <rFont val="돋움"/>
        <family val="2"/>
        <charset val="129"/>
      </rPr>
      <t>년차</t>
    </r>
    <phoneticPr fontId="4" type="noConversion"/>
  </si>
  <si>
    <t xml:space="preserve"> ■  견적일자 : 2026 년 03월 27일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</si>
</sst>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"/>
    <numFmt numFmtId="177" formatCode="#,##0_ "/>
    <numFmt numFmtId="178" formatCode="#,##0_);[Red]\(#,##0\)"/>
    <numFmt numFmtId="179" formatCode="_ * #,##0_ ;_ * \-#,##0_ ;_ * &quot;-&quot;_ ;_ @_ "/>
    <numFmt numFmtId="180" formatCode="_ * #,##0.00_ ;_ * \-#,##0.00_ ;_ * &quot;-&quot;??_ ;_ @_ "/>
    <numFmt numFmtId="181" formatCode="&quot;₩&quot;#,##0;&quot;₩&quot;&quot;₩&quot;&quot;₩&quot;&quot;₩&quot;&quot;₩&quot;&quot;₩&quot;&quot;₩&quot;&quot;₩&quot;\-#,##0"/>
    <numFmt numFmtId="182" formatCode="&quot;₩&quot;#,##0.00;&quot;₩&quot;&quot;₩&quot;&quot;₩&quot;&quot;₩&quot;&quot;₩&quot;&quot;₩&quot;&quot;₩&quot;&quot;₩&quot;\-#,##0.00"/>
    <numFmt numFmtId="183" formatCode="_-* #,##0.0_-;\-* #,##0.0_-;_-* &quot;-&quot;?_-;_-@_-"/>
  </numFmts>
  <fonts count="4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28"/>
      <name val="HY울릉도B"/>
      <family val="1"/>
      <charset val="129"/>
    </font>
    <font>
      <sz val="8"/>
      <name val="돋움"/>
      <family val="3"/>
      <charset val="129"/>
    </font>
    <font>
      <b/>
      <u/>
      <sz val="28"/>
      <name val="HY목각파임B"/>
      <family val="1"/>
      <charset val="129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6"/>
      <name val="맑은 고딕"/>
      <family val="3"/>
      <charset val="129"/>
      <scheme val="major"/>
    </font>
    <font>
      <sz val="11"/>
      <name val="굴림체"/>
      <family val="3"/>
      <charset val="129"/>
    </font>
    <font>
      <sz val="12"/>
      <name val="Arial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2"/>
      <name val="바탕체"/>
      <family val="1"/>
      <charset val="129"/>
    </font>
    <font>
      <sz val="9"/>
      <name val="맑은 고딕"/>
      <family val="3"/>
      <charset val="129"/>
      <scheme val="major"/>
    </font>
    <font>
      <u/>
      <sz val="9"/>
      <name val="맑은 고딕"/>
      <family val="3"/>
      <charset val="129"/>
      <scheme val="major"/>
    </font>
    <font>
      <sz val="8"/>
      <name val="바탕"/>
      <family val="1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b/>
      <sz val="11"/>
      <name val="새굴림"/>
      <family val="1"/>
      <charset val="129"/>
    </font>
    <font>
      <sz val="11"/>
      <name val="새굴림"/>
      <family val="1"/>
      <charset val="129"/>
    </font>
    <font>
      <b/>
      <u/>
      <sz val="12"/>
      <name val="바탕체"/>
      <family val="1"/>
      <charset val="129"/>
    </font>
    <font>
      <sz val="11"/>
      <name val="바탕체"/>
      <family val="1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name val="Helvetica-Narrow"/>
      <family val="2"/>
    </font>
    <font>
      <b/>
      <sz val="9"/>
      <name val="Helvetica-Narrow"/>
      <family val="2"/>
    </font>
    <font>
      <b/>
      <sz val="10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새굴림"/>
      <family val="1"/>
      <charset val="129"/>
    </font>
    <font>
      <sz val="10"/>
      <color indexed="8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sz val="12"/>
      <name val="뼻뮝"/>
      <family val="1"/>
      <charset val="129"/>
    </font>
    <font>
      <sz val="12"/>
      <color indexed="24"/>
      <name val="바탕체"/>
      <family val="1"/>
      <charset val="129"/>
    </font>
    <font>
      <sz val="12"/>
      <name val="돋움"/>
      <family val="3"/>
      <charset val="129"/>
    </font>
    <font>
      <b/>
      <sz val="9"/>
      <name val="맑은 고딕"/>
      <family val="2"/>
      <charset val="129"/>
    </font>
    <font>
      <b/>
      <sz val="9"/>
      <name val="Helvetica-Narrow"/>
      <family val="2"/>
      <charset val="129"/>
    </font>
    <font>
      <b/>
      <sz val="9"/>
      <name val="Helvetica-Narrow"/>
      <family val="3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9"/>
      <name val="Arial"/>
      <family val="2"/>
    </font>
    <font>
      <b/>
      <sz val="9"/>
      <name val="Helvetica-Narrow"/>
      <family val="3"/>
      <charset val="129"/>
    </font>
    <font>
      <b/>
      <sz val="9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20">
    <xf numFmtId="0" fontId="0" fillId="0" borderId="0"/>
    <xf numFmtId="41" fontId="2" fillId="0" borderId="0" applyFont="0" applyFill="0" applyBorder="0" applyAlignment="0" applyProtection="0"/>
    <xf numFmtId="0" fontId="2" fillId="0" borderId="0"/>
    <xf numFmtId="0" fontId="14" fillId="0" borderId="0"/>
    <xf numFmtId="0" fontId="14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0" fontId="6" fillId="0" borderId="0"/>
    <xf numFmtId="0" fontId="35" fillId="0" borderId="0"/>
    <xf numFmtId="41" fontId="2" fillId="0" borderId="0" applyFont="0" applyFill="0" applyBorder="0" applyAlignment="0" applyProtection="0">
      <alignment vertical="center"/>
    </xf>
    <xf numFmtId="3" fontId="36" fillId="0" borderId="0" applyFont="0" applyFill="0" applyBorder="0" applyAlignment="0" applyProtection="0"/>
    <xf numFmtId="0" fontId="37" fillId="0" borderId="0"/>
    <xf numFmtId="41" fontId="2" fillId="0" borderId="0" applyFont="0" applyFill="0" applyBorder="0" applyAlignment="0" applyProtection="0"/>
    <xf numFmtId="180" fontId="14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vertical="top"/>
    </xf>
    <xf numFmtId="0" fontId="10" fillId="0" borderId="0" xfId="0" applyFont="1" applyBorder="1" applyAlignment="1">
      <alignment vertical="center" shrinkToFit="1"/>
    </xf>
    <xf numFmtId="0" fontId="11" fillId="0" borderId="0" xfId="2" applyFont="1" applyBorder="1" applyAlignment="1"/>
    <xf numFmtId="0" fontId="0" fillId="0" borderId="0" xfId="0" applyBorder="1"/>
    <xf numFmtId="0" fontId="12" fillId="0" borderId="0" xfId="0" applyFont="1" applyBorder="1"/>
    <xf numFmtId="0" fontId="6" fillId="0" borderId="0" xfId="0" applyFont="1" applyBorder="1"/>
    <xf numFmtId="0" fontId="13" fillId="0" borderId="0" xfId="2" applyFont="1" applyBorder="1" applyAlignment="1">
      <alignment horizontal="right"/>
    </xf>
    <xf numFmtId="0" fontId="15" fillId="0" borderId="2" xfId="3" applyFont="1" applyBorder="1" applyAlignment="1">
      <alignment vertical="center"/>
    </xf>
    <xf numFmtId="0" fontId="16" fillId="0" borderId="3" xfId="3" applyFont="1" applyBorder="1" applyAlignment="1">
      <alignment vertical="center"/>
    </xf>
    <xf numFmtId="0" fontId="15" fillId="0" borderId="3" xfId="3" applyFont="1" applyBorder="1" applyAlignment="1">
      <alignment vertical="center"/>
    </xf>
    <xf numFmtId="0" fontId="15" fillId="0" borderId="5" xfId="3" applyFont="1" applyBorder="1" applyAlignment="1">
      <alignment vertical="center"/>
    </xf>
    <xf numFmtId="0" fontId="16" fillId="0" borderId="0" xfId="3" applyFont="1" applyBorder="1" applyAlignment="1">
      <alignment vertical="center"/>
    </xf>
    <xf numFmtId="0" fontId="15" fillId="0" borderId="0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6" fillId="0" borderId="8" xfId="3" applyFont="1" applyBorder="1" applyAlignment="1">
      <alignment vertical="center"/>
    </xf>
    <xf numFmtId="0" fontId="15" fillId="0" borderId="8" xfId="3" applyFont="1" applyBorder="1" applyAlignment="1">
      <alignment vertical="center"/>
    </xf>
    <xf numFmtId="0" fontId="18" fillId="0" borderId="0" xfId="4" applyFont="1" applyBorder="1" applyAlignment="1">
      <alignment vertical="center"/>
    </xf>
    <xf numFmtId="0" fontId="14" fillId="0" borderId="0" xfId="3" applyFont="1" applyBorder="1" applyAlignment="1">
      <alignment vertical="center"/>
    </xf>
    <xf numFmtId="0" fontId="14" fillId="0" borderId="0" xfId="3" applyAlignment="1">
      <alignment vertical="center"/>
    </xf>
    <xf numFmtId="0" fontId="19" fillId="0" borderId="0" xfId="3" applyFont="1" applyAlignment="1">
      <alignment horizontal="right" vertical="center"/>
    </xf>
    <xf numFmtId="0" fontId="20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vertical="center"/>
    </xf>
    <xf numFmtId="0" fontId="24" fillId="2" borderId="10" xfId="0" applyFont="1" applyFill="1" applyBorder="1" applyAlignment="1">
      <alignment vertical="center"/>
    </xf>
    <xf numFmtId="0" fontId="24" fillId="2" borderId="11" xfId="0" applyFont="1" applyFill="1" applyBorder="1" applyAlignment="1">
      <alignment vertical="center"/>
    </xf>
    <xf numFmtId="176" fontId="24" fillId="2" borderId="11" xfId="0" applyNumberFormat="1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center" vertical="center" shrinkToFit="1"/>
    </xf>
    <xf numFmtId="0" fontId="25" fillId="3" borderId="13" xfId="0" applyFont="1" applyFill="1" applyBorder="1" applyAlignment="1">
      <alignment horizontal="center" vertical="center" shrinkToFit="1"/>
    </xf>
    <xf numFmtId="0" fontId="25" fillId="3" borderId="4" xfId="0" applyFont="1" applyFill="1" applyBorder="1" applyAlignment="1">
      <alignment horizontal="center" vertical="center" shrinkToFit="1"/>
    </xf>
    <xf numFmtId="0" fontId="27" fillId="3" borderId="16" xfId="0" applyFont="1" applyFill="1" applyBorder="1" applyAlignment="1">
      <alignment horizontal="center" vertical="center" shrinkToFit="1"/>
    </xf>
    <xf numFmtId="0" fontId="27" fillId="3" borderId="17" xfId="0" applyFont="1" applyFill="1" applyBorder="1" applyAlignment="1">
      <alignment horizontal="center" vertical="center" shrinkToFit="1"/>
    </xf>
    <xf numFmtId="0" fontId="27" fillId="3" borderId="20" xfId="0" applyFont="1" applyFill="1" applyBorder="1" applyAlignment="1">
      <alignment horizontal="center" vertical="center" shrinkToFit="1"/>
    </xf>
    <xf numFmtId="0" fontId="28" fillId="3" borderId="5" xfId="0" applyFont="1" applyFill="1" applyBorder="1" applyAlignment="1">
      <alignment horizontal="center" vertical="center" shrinkToFit="1"/>
    </xf>
    <xf numFmtId="0" fontId="28" fillId="3" borderId="21" xfId="0" applyFont="1" applyFill="1" applyBorder="1" applyAlignment="1">
      <alignment horizontal="center" vertical="center" shrinkToFit="1"/>
    </xf>
    <xf numFmtId="41" fontId="30" fillId="3" borderId="21" xfId="1" applyFont="1" applyFill="1" applyBorder="1" applyAlignment="1">
      <alignment vertical="center" shrinkToFit="1"/>
    </xf>
    <xf numFmtId="0" fontId="30" fillId="3" borderId="21" xfId="0" applyFont="1" applyFill="1" applyBorder="1" applyAlignment="1">
      <alignment horizontal="center" vertical="center" shrinkToFit="1"/>
    </xf>
    <xf numFmtId="41" fontId="30" fillId="3" borderId="6" xfId="0" applyNumberFormat="1" applyFont="1" applyFill="1" applyBorder="1" applyAlignment="1">
      <alignment horizontal="right" vertical="center" shrinkToFit="1"/>
    </xf>
    <xf numFmtId="0" fontId="12" fillId="0" borderId="0" xfId="0" applyFont="1"/>
    <xf numFmtId="0" fontId="28" fillId="3" borderId="21" xfId="0" applyFont="1" applyFill="1" applyBorder="1" applyAlignment="1">
      <alignment horizontal="left" vertical="center" shrinkToFit="1"/>
    </xf>
    <xf numFmtId="0" fontId="28" fillId="3" borderId="6" xfId="0" applyFont="1" applyFill="1" applyBorder="1" applyAlignment="1">
      <alignment horizontal="left" vertical="center" shrinkToFit="1"/>
    </xf>
    <xf numFmtId="0" fontId="28" fillId="3" borderId="0" xfId="0" applyFont="1" applyFill="1" applyBorder="1" applyAlignment="1">
      <alignment vertical="center" shrinkToFit="1"/>
    </xf>
    <xf numFmtId="0" fontId="28" fillId="3" borderId="23" xfId="0" applyFont="1" applyFill="1" applyBorder="1" applyAlignment="1">
      <alignment vertical="center" shrinkToFit="1"/>
    </xf>
    <xf numFmtId="0" fontId="31" fillId="3" borderId="24" xfId="0" applyFont="1" applyFill="1" applyBorder="1" applyAlignment="1">
      <alignment vertical="center" shrinkToFit="1"/>
    </xf>
    <xf numFmtId="0" fontId="28" fillId="3" borderId="26" xfId="0" applyFont="1" applyFill="1" applyBorder="1" applyAlignment="1">
      <alignment horizontal="center" vertical="center" shrinkToFit="1"/>
    </xf>
    <xf numFmtId="0" fontId="28" fillId="3" borderId="27" xfId="0" applyFont="1" applyFill="1" applyBorder="1" applyAlignment="1">
      <alignment horizontal="center" vertical="center" shrinkToFit="1"/>
    </xf>
    <xf numFmtId="41" fontId="28" fillId="3" borderId="28" xfId="1" applyFont="1" applyFill="1" applyBorder="1" applyAlignment="1">
      <alignment horizontal="right" vertical="center" shrinkToFit="1"/>
    </xf>
    <xf numFmtId="0" fontId="28" fillId="3" borderId="16" xfId="0" applyFont="1" applyFill="1" applyBorder="1" applyAlignment="1">
      <alignment horizontal="center" vertical="center" shrinkToFit="1"/>
    </xf>
    <xf numFmtId="0" fontId="28" fillId="3" borderId="29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center" vertical="center"/>
    </xf>
    <xf numFmtId="177" fontId="11" fillId="0" borderId="11" xfId="1" applyNumberFormat="1" applyFont="1" applyBorder="1" applyAlignment="1">
      <alignment horizontal="center" vertical="center"/>
    </xf>
    <xf numFmtId="178" fontId="12" fillId="0" borderId="11" xfId="1" applyNumberFormat="1" applyFont="1" applyBorder="1" applyAlignment="1">
      <alignment vertical="center"/>
    </xf>
    <xf numFmtId="178" fontId="32" fillId="0" borderId="11" xfId="1" applyNumberFormat="1" applyFont="1" applyBorder="1" applyAlignment="1">
      <alignment horizontal="right" vertical="center"/>
    </xf>
    <xf numFmtId="41" fontId="11" fillId="0" borderId="12" xfId="1" applyFont="1" applyBorder="1" applyAlignment="1">
      <alignment horizontal="center" vertical="center"/>
    </xf>
    <xf numFmtId="0" fontId="15" fillId="0" borderId="0" xfId="3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/>
    </xf>
    <xf numFmtId="0" fontId="34" fillId="3" borderId="21" xfId="0" applyFont="1" applyFill="1" applyBorder="1" applyAlignment="1">
      <alignment horizontal="center" vertical="center" shrinkToFit="1"/>
    </xf>
    <xf numFmtId="183" fontId="12" fillId="0" borderId="0" xfId="0" applyNumberFormat="1" applyFont="1"/>
    <xf numFmtId="0" fontId="29" fillId="3" borderId="23" xfId="0" applyFont="1" applyFill="1" applyBorder="1" applyAlignment="1">
      <alignment horizontal="left" vertical="center" shrinkToFit="1"/>
    </xf>
    <xf numFmtId="0" fontId="15" fillId="0" borderId="0" xfId="3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/>
    </xf>
    <xf numFmtId="0" fontId="27" fillId="3" borderId="5" xfId="0" applyFont="1" applyFill="1" applyBorder="1" applyAlignment="1">
      <alignment horizontal="center" vertical="center" shrinkToFit="1"/>
    </xf>
    <xf numFmtId="0" fontId="27" fillId="3" borderId="21" xfId="0" applyFont="1" applyFill="1" applyBorder="1" applyAlignment="1">
      <alignment horizontal="center" vertical="center" shrinkToFit="1"/>
    </xf>
    <xf numFmtId="0" fontId="27" fillId="3" borderId="23" xfId="0" applyFont="1" applyFill="1" applyBorder="1" applyAlignment="1">
      <alignment horizontal="center" vertical="center" shrinkToFit="1"/>
    </xf>
    <xf numFmtId="41" fontId="27" fillId="3" borderId="21" xfId="1" applyFont="1" applyFill="1" applyBorder="1" applyAlignment="1">
      <alignment horizontal="center" vertical="center" shrinkToFit="1"/>
    </xf>
    <xf numFmtId="41" fontId="27" fillId="3" borderId="6" xfId="0" applyNumberFormat="1" applyFont="1" applyFill="1" applyBorder="1" applyAlignment="1">
      <alignment horizontal="center" vertical="center" shrinkToFit="1"/>
    </xf>
    <xf numFmtId="0" fontId="29" fillId="3" borderId="0" xfId="0" applyFont="1" applyFill="1" applyBorder="1" applyAlignment="1">
      <alignment horizontal="left" vertical="center" shrinkToFit="1"/>
    </xf>
    <xf numFmtId="41" fontId="0" fillId="0" borderId="0" xfId="0" applyNumberFormat="1"/>
    <xf numFmtId="183" fontId="0" fillId="0" borderId="0" xfId="0" applyNumberFormat="1"/>
    <xf numFmtId="0" fontId="44" fillId="3" borderId="22" xfId="0" applyFont="1" applyFill="1" applyBorder="1" applyAlignment="1">
      <alignment horizontal="center" vertical="center" shrinkToFit="1"/>
    </xf>
    <xf numFmtId="0" fontId="29" fillId="3" borderId="22" xfId="0" applyFont="1" applyFill="1" applyBorder="1" applyAlignment="1">
      <alignment horizontal="left" vertical="center" shrinkToFit="1"/>
    </xf>
    <xf numFmtId="0" fontId="29" fillId="3" borderId="23" xfId="0" applyFont="1" applyFill="1" applyBorder="1" applyAlignment="1">
      <alignment horizontal="left" vertical="center" shrinkToFit="1"/>
    </xf>
    <xf numFmtId="0" fontId="44" fillId="3" borderId="39" xfId="0" applyFont="1" applyFill="1" applyBorder="1" applyAlignment="1">
      <alignment horizontal="left" vertical="center" wrapText="1" shrinkToFit="1"/>
    </xf>
    <xf numFmtId="0" fontId="40" fillId="3" borderId="40" xfId="0" applyFont="1" applyFill="1" applyBorder="1" applyAlignment="1">
      <alignment horizontal="left" vertical="center" wrapText="1" shrinkToFit="1"/>
    </xf>
    <xf numFmtId="0" fontId="33" fillId="0" borderId="32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4" xfId="0" applyFont="1" applyFill="1" applyBorder="1" applyAlignment="1">
      <alignment horizontal="center" vertical="center"/>
    </xf>
    <xf numFmtId="0" fontId="12" fillId="0" borderId="11" xfId="1" applyNumberFormat="1" applyFont="1" applyBorder="1" applyAlignment="1">
      <alignment horizontal="left" vertical="center"/>
    </xf>
    <xf numFmtId="41" fontId="28" fillId="3" borderId="30" xfId="1" applyFont="1" applyFill="1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15" fillId="3" borderId="36" xfId="0" applyFont="1" applyFill="1" applyBorder="1" applyAlignment="1">
      <alignment horizontal="left" vertical="center" shrinkToFit="1"/>
    </xf>
    <xf numFmtId="0" fontId="15" fillId="3" borderId="25" xfId="0" applyFont="1" applyFill="1" applyBorder="1" applyAlignment="1">
      <alignment horizontal="left" vertical="center" shrinkToFit="1"/>
    </xf>
    <xf numFmtId="0" fontId="15" fillId="3" borderId="35" xfId="0" applyFont="1" applyFill="1" applyBorder="1" applyAlignment="1">
      <alignment horizontal="left" vertical="center" shrinkToFit="1"/>
    </xf>
    <xf numFmtId="0" fontId="15" fillId="3" borderId="30" xfId="0" applyFont="1" applyFill="1" applyBorder="1" applyAlignment="1">
      <alignment horizontal="left" vertical="center" shrinkToFit="1"/>
    </xf>
    <xf numFmtId="0" fontId="15" fillId="3" borderId="37" xfId="0" applyFont="1" applyFill="1" applyBorder="1" applyAlignment="1">
      <alignment horizontal="left" vertical="center" shrinkToFit="1"/>
    </xf>
    <xf numFmtId="0" fontId="15" fillId="3" borderId="38" xfId="0" applyFont="1" applyFill="1" applyBorder="1" applyAlignment="1">
      <alignment horizontal="left" vertical="center" shrinkToFit="1"/>
    </xf>
    <xf numFmtId="0" fontId="41" fillId="3" borderId="22" xfId="0" applyFont="1" applyFill="1" applyBorder="1" applyAlignment="1">
      <alignment horizontal="left" vertical="center" shrinkToFit="1"/>
    </xf>
    <xf numFmtId="0" fontId="41" fillId="3" borderId="23" xfId="0" applyFont="1" applyFill="1" applyBorder="1" applyAlignment="1">
      <alignment horizontal="left" vertical="center" shrinkToFit="1"/>
    </xf>
    <xf numFmtId="0" fontId="15" fillId="0" borderId="8" xfId="3" applyFont="1" applyBorder="1" applyAlignment="1">
      <alignment horizontal="left" vertical="center" wrapText="1"/>
    </xf>
    <xf numFmtId="0" fontId="15" fillId="0" borderId="9" xfId="3" applyFont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 shrinkToFit="1"/>
    </xf>
    <xf numFmtId="0" fontId="15" fillId="0" borderId="3" xfId="3" applyFont="1" applyBorder="1" applyAlignment="1">
      <alignment horizontal="left" vertical="center"/>
    </xf>
    <xf numFmtId="0" fontId="15" fillId="0" borderId="4" xfId="3" applyFont="1" applyBorder="1" applyAlignment="1">
      <alignment horizontal="left" vertical="center"/>
    </xf>
    <xf numFmtId="0" fontId="15" fillId="0" borderId="0" xfId="3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/>
    </xf>
    <xf numFmtId="176" fontId="24" fillId="2" borderId="11" xfId="0" applyNumberFormat="1" applyFont="1" applyFill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25" fillId="3" borderId="14" xfId="0" applyFont="1" applyFill="1" applyBorder="1" applyAlignment="1">
      <alignment horizontal="center" vertical="center" shrinkToFit="1"/>
    </xf>
    <xf numFmtId="0" fontId="25" fillId="3" borderId="15" xfId="0" applyFont="1" applyFill="1" applyBorder="1" applyAlignment="1">
      <alignment horizontal="center" vertical="center" shrinkToFit="1"/>
    </xf>
    <xf numFmtId="0" fontId="27" fillId="3" borderId="18" xfId="0" applyFont="1" applyFill="1" applyBorder="1" applyAlignment="1">
      <alignment horizontal="center" vertical="center" shrinkToFit="1"/>
    </xf>
    <xf numFmtId="0" fontId="27" fillId="3" borderId="19" xfId="0" applyFont="1" applyFill="1" applyBorder="1" applyAlignment="1">
      <alignment horizontal="center" vertical="center" shrinkToFit="1"/>
    </xf>
    <xf numFmtId="0" fontId="39" fillId="3" borderId="22" xfId="0" applyFont="1" applyFill="1" applyBorder="1" applyAlignment="1">
      <alignment horizontal="center" vertical="center" shrinkToFit="1"/>
    </xf>
    <xf numFmtId="0" fontId="39" fillId="3" borderId="23" xfId="0" applyFont="1" applyFill="1" applyBorder="1" applyAlignment="1">
      <alignment horizontal="center" vertical="center" shrinkToFit="1"/>
    </xf>
    <xf numFmtId="0" fontId="29" fillId="3" borderId="22" xfId="0" applyFont="1" applyFill="1" applyBorder="1" applyAlignment="1">
      <alignment horizontal="center" vertical="center" shrinkToFit="1"/>
    </xf>
    <xf numFmtId="0" fontId="29" fillId="3" borderId="23" xfId="0" applyFont="1" applyFill="1" applyBorder="1" applyAlignment="1">
      <alignment horizontal="center" vertical="center" shrinkToFit="1"/>
    </xf>
    <xf numFmtId="41" fontId="12" fillId="0" borderId="0" xfId="0" applyNumberFormat="1" applyFont="1"/>
  </cellXfs>
  <cellStyles count="20">
    <cellStyle name="Comma [0]_ SG&amp;A Bridge " xfId="7" xr:uid="{00000000-0005-0000-0000-000000000000}"/>
    <cellStyle name="Comma_ SG&amp;A Bridge " xfId="8" xr:uid="{00000000-0005-0000-0000-000001000000}"/>
    <cellStyle name="Currency [0]_ SG&amp;A Bridge " xfId="9" xr:uid="{00000000-0005-0000-0000-000002000000}"/>
    <cellStyle name="Currency_ SG&amp;A Bridge " xfId="10" xr:uid="{00000000-0005-0000-0000-000003000000}"/>
    <cellStyle name="Normal_ SG&amp;A Bridge " xfId="11" xr:uid="{00000000-0005-0000-0000-000004000000}"/>
    <cellStyle name="뷭?_BOOKSHIP" xfId="12" xr:uid="{00000000-0005-0000-0000-000005000000}"/>
    <cellStyle name="쉼표 [0]" xfId="1" builtinId="6"/>
    <cellStyle name="쉼표 [0] 2" xfId="5" xr:uid="{00000000-0005-0000-0000-000007000000}"/>
    <cellStyle name="쉼표 [0] 3" xfId="13" xr:uid="{00000000-0005-0000-0000-000008000000}"/>
    <cellStyle name="쉼표 [0] 4" xfId="19" xr:uid="{67855CA6-DFCD-4415-A4C6-9DD2128DC027}"/>
    <cellStyle name="자리수0" xfId="14" xr:uid="{00000000-0005-0000-0000-000009000000}"/>
    <cellStyle name="지정되지 않음" xfId="15" xr:uid="{00000000-0005-0000-0000-00000A000000}"/>
    <cellStyle name="콤마 [0]_ 내역서" xfId="16" xr:uid="{00000000-0005-0000-0000-00000B000000}"/>
    <cellStyle name="콤마_가로양식" xfId="17" xr:uid="{00000000-0005-0000-0000-00000C000000}"/>
    <cellStyle name="표준" xfId="0" builtinId="0"/>
    <cellStyle name="표준 2" xfId="6" xr:uid="{00000000-0005-0000-0000-00000E000000}"/>
    <cellStyle name="표준 3" xfId="18" xr:uid="{1712D347-49D3-4A22-B04B-496AADA241D1}"/>
    <cellStyle name="표준_FORM" xfId="2" xr:uid="{00000000-0005-0000-0000-00000F000000}"/>
    <cellStyle name="표준_FORM - 1" xfId="3" xr:uid="{00000000-0005-0000-0000-000010000000}"/>
    <cellStyle name="표준_FORM -2 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42</xdr:row>
      <xdr:rowOff>0</xdr:rowOff>
    </xdr:from>
    <xdr:to>
      <xdr:col>1</xdr:col>
      <xdr:colOff>552450</xdr:colOff>
      <xdr:row>42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175" y="808355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238125</xdr:colOff>
      <xdr:row>42</xdr:row>
      <xdr:rowOff>0</xdr:rowOff>
    </xdr:from>
    <xdr:to>
      <xdr:col>1</xdr:col>
      <xdr:colOff>276225</xdr:colOff>
      <xdr:row>42</xdr:row>
      <xdr:rowOff>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083550"/>
          <a:ext cx="565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561975</xdr:colOff>
      <xdr:row>42</xdr:row>
      <xdr:rowOff>0</xdr:rowOff>
    </xdr:from>
    <xdr:to>
      <xdr:col>2</xdr:col>
      <xdr:colOff>657225</xdr:colOff>
      <xdr:row>42</xdr:row>
      <xdr:rowOff>0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025" y="8083550"/>
          <a:ext cx="831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0</xdr:col>
      <xdr:colOff>266700</xdr:colOff>
      <xdr:row>42</xdr:row>
      <xdr:rowOff>0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083550"/>
          <a:ext cx="228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1362075</xdr:colOff>
      <xdr:row>42</xdr:row>
      <xdr:rowOff>0</xdr:rowOff>
    </xdr:from>
    <xdr:to>
      <xdr:col>5</xdr:col>
      <xdr:colOff>485775</xdr:colOff>
      <xdr:row>42</xdr:row>
      <xdr:rowOff>0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8083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1647825</xdr:colOff>
      <xdr:row>42</xdr:row>
      <xdr:rowOff>0</xdr:rowOff>
    </xdr:from>
    <xdr:to>
      <xdr:col>3</xdr:col>
      <xdr:colOff>323850</xdr:colOff>
      <xdr:row>42</xdr:row>
      <xdr:rowOff>0</xdr:rowOff>
    </xdr:to>
    <xdr:pic>
      <xdr:nvPicPr>
        <xdr:cNvPr id="7" name="Picture 11" descr="eon realit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8083550"/>
          <a:ext cx="327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42</xdr:row>
      <xdr:rowOff>0</xdr:rowOff>
    </xdr:from>
    <xdr:to>
      <xdr:col>6</xdr:col>
      <xdr:colOff>47625</xdr:colOff>
      <xdr:row>42</xdr:row>
      <xdr:rowOff>0</xdr:rowOff>
    </xdr:to>
    <xdr:pic>
      <xdr:nvPicPr>
        <xdr:cNvPr id="8" name="Picture 12" descr="Anybil-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8083550"/>
          <a:ext cx="774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42</xdr:row>
      <xdr:rowOff>0</xdr:rowOff>
    </xdr:from>
    <xdr:to>
      <xdr:col>6</xdr:col>
      <xdr:colOff>914400</xdr:colOff>
      <xdr:row>42</xdr:row>
      <xdr:rowOff>0</xdr:rowOff>
    </xdr:to>
    <xdr:pic>
      <xdr:nvPicPr>
        <xdr:cNvPr id="9" name="Picture 13" descr="archicad_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8100" y="808355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314325</xdr:colOff>
      <xdr:row>42</xdr:row>
      <xdr:rowOff>47625</xdr:rowOff>
    </xdr:from>
    <xdr:to>
      <xdr:col>4</xdr:col>
      <xdr:colOff>762000</xdr:colOff>
      <xdr:row>42</xdr:row>
      <xdr:rowOff>47625</xdr:rowOff>
    </xdr:to>
    <xdr:pic>
      <xdr:nvPicPr>
        <xdr:cNvPr id="10" name="Picture 14" descr="dell_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8131175"/>
          <a:ext cx="428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923925</xdr:colOff>
      <xdr:row>42</xdr:row>
      <xdr:rowOff>0</xdr:rowOff>
    </xdr:from>
    <xdr:to>
      <xdr:col>7</xdr:col>
      <xdr:colOff>0</xdr:colOff>
      <xdr:row>42</xdr:row>
      <xdr:rowOff>0</xdr:rowOff>
    </xdr:to>
    <xdr:pic>
      <xdr:nvPicPr>
        <xdr:cNvPr id="11" name="Picture 15" descr="quark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525" y="8083550"/>
          <a:ext cx="3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714375</xdr:colOff>
      <xdr:row>42</xdr:row>
      <xdr:rowOff>0</xdr:rowOff>
    </xdr:from>
    <xdr:to>
      <xdr:col>2</xdr:col>
      <xdr:colOff>1066800</xdr:colOff>
      <xdr:row>42</xdr:row>
      <xdr:rowOff>0</xdr:rowOff>
    </xdr:to>
    <xdr:pic>
      <xdr:nvPicPr>
        <xdr:cNvPr id="12" name="Picture 16" descr="discreet-log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025" y="8083550"/>
          <a:ext cx="352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0</xdr:colOff>
      <xdr:row>46</xdr:row>
      <xdr:rowOff>0</xdr:rowOff>
    </xdr:to>
    <xdr:pic>
      <xdr:nvPicPr>
        <xdr:cNvPr id="13" name="Picture 17" descr="auror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700" y="8083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822983</xdr:colOff>
      <xdr:row>6</xdr:row>
      <xdr:rowOff>166558</xdr:rowOff>
    </xdr:from>
    <xdr:to>
      <xdr:col>5</xdr:col>
      <xdr:colOff>701497</xdr:colOff>
      <xdr:row>10</xdr:row>
      <xdr:rowOff>7352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AF8FD"/>
            </a:clrFrom>
            <a:clrTo>
              <a:srgbClr val="FAF8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660627">
          <a:off x="4258143" y="1728848"/>
          <a:ext cx="755194" cy="70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358429</xdr:colOff>
      <xdr:row>2</xdr:row>
      <xdr:rowOff>406400</xdr:rowOff>
    </xdr:to>
    <xdr:pic>
      <xdr:nvPicPr>
        <xdr:cNvPr id="15" name="그림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2079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32</xdr:row>
      <xdr:rowOff>0</xdr:rowOff>
    </xdr:from>
    <xdr:to>
      <xdr:col>1</xdr:col>
      <xdr:colOff>552450</xdr:colOff>
      <xdr:row>32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3A14C7F9-446D-4616-92F1-82B869C96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" y="7528560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238125</xdr:colOff>
      <xdr:row>32</xdr:row>
      <xdr:rowOff>0</xdr:rowOff>
    </xdr:from>
    <xdr:to>
      <xdr:col>1</xdr:col>
      <xdr:colOff>276225</xdr:colOff>
      <xdr:row>32</xdr:row>
      <xdr:rowOff>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B934EE83-8DC8-4460-BE6D-BBA0624B7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7528560"/>
          <a:ext cx="5638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561975</xdr:colOff>
      <xdr:row>32</xdr:row>
      <xdr:rowOff>0</xdr:rowOff>
    </xdr:from>
    <xdr:to>
      <xdr:col>2</xdr:col>
      <xdr:colOff>657225</xdr:colOff>
      <xdr:row>32</xdr:row>
      <xdr:rowOff>0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560C3B95-EE69-4536-9272-CD860CF8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755" y="7528560"/>
          <a:ext cx="8343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32</xdr:row>
      <xdr:rowOff>0</xdr:rowOff>
    </xdr:from>
    <xdr:to>
      <xdr:col>0</xdr:col>
      <xdr:colOff>266700</xdr:colOff>
      <xdr:row>32</xdr:row>
      <xdr:rowOff>0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F4029379-BD8E-4413-AE6D-8DBD1BEB2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528560"/>
          <a:ext cx="228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1362075</xdr:colOff>
      <xdr:row>32</xdr:row>
      <xdr:rowOff>0</xdr:rowOff>
    </xdr:from>
    <xdr:to>
      <xdr:col>5</xdr:col>
      <xdr:colOff>485775</xdr:colOff>
      <xdr:row>32</xdr:row>
      <xdr:rowOff>0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78F3C26F-4285-4919-9F1D-88B132A2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915" y="752856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1647825</xdr:colOff>
      <xdr:row>32</xdr:row>
      <xdr:rowOff>0</xdr:rowOff>
    </xdr:from>
    <xdr:to>
      <xdr:col>3</xdr:col>
      <xdr:colOff>323850</xdr:colOff>
      <xdr:row>32</xdr:row>
      <xdr:rowOff>0</xdr:rowOff>
    </xdr:to>
    <xdr:pic>
      <xdr:nvPicPr>
        <xdr:cNvPr id="7" name="Picture 11" descr="eon reality">
          <a:extLst>
            <a:ext uri="{FF2B5EF4-FFF2-40B4-BE49-F238E27FC236}">
              <a16:creationId xmlns:a16="http://schemas.microsoft.com/office/drawing/2014/main" id="{DE313EF2-F905-49DA-A859-AFA227BED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6485" y="7528560"/>
          <a:ext cx="32194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28575</xdr:colOff>
      <xdr:row>32</xdr:row>
      <xdr:rowOff>0</xdr:rowOff>
    </xdr:from>
    <xdr:to>
      <xdr:col>6</xdr:col>
      <xdr:colOff>47625</xdr:colOff>
      <xdr:row>32</xdr:row>
      <xdr:rowOff>0</xdr:rowOff>
    </xdr:to>
    <xdr:pic>
      <xdr:nvPicPr>
        <xdr:cNvPr id="8" name="Picture 12" descr="Anybil-logo">
          <a:extLst>
            <a:ext uri="{FF2B5EF4-FFF2-40B4-BE49-F238E27FC236}">
              <a16:creationId xmlns:a16="http://schemas.microsoft.com/office/drawing/2014/main" id="{4FBE0CB1-F66C-41E5-9B9C-5F90BABEE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1015" y="7528560"/>
          <a:ext cx="7734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76200</xdr:colOff>
      <xdr:row>32</xdr:row>
      <xdr:rowOff>0</xdr:rowOff>
    </xdr:from>
    <xdr:to>
      <xdr:col>6</xdr:col>
      <xdr:colOff>914400</xdr:colOff>
      <xdr:row>32</xdr:row>
      <xdr:rowOff>0</xdr:rowOff>
    </xdr:to>
    <xdr:pic>
      <xdr:nvPicPr>
        <xdr:cNvPr id="9" name="Picture 13" descr="archicad_logo">
          <a:extLst>
            <a:ext uri="{FF2B5EF4-FFF2-40B4-BE49-F238E27FC236}">
              <a16:creationId xmlns:a16="http://schemas.microsoft.com/office/drawing/2014/main" id="{53CF7B88-1938-4432-9CB4-4BA0F21DC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7528560"/>
          <a:ext cx="739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314325</xdr:colOff>
      <xdr:row>32</xdr:row>
      <xdr:rowOff>47625</xdr:rowOff>
    </xdr:from>
    <xdr:to>
      <xdr:col>4</xdr:col>
      <xdr:colOff>762000</xdr:colOff>
      <xdr:row>32</xdr:row>
      <xdr:rowOff>47625</xdr:rowOff>
    </xdr:to>
    <xdr:pic>
      <xdr:nvPicPr>
        <xdr:cNvPr id="10" name="Picture 14" descr="dell_logo">
          <a:extLst>
            <a:ext uri="{FF2B5EF4-FFF2-40B4-BE49-F238E27FC236}">
              <a16:creationId xmlns:a16="http://schemas.microsoft.com/office/drawing/2014/main" id="{1210E443-A450-4D6D-8656-FF530561D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7576185"/>
          <a:ext cx="42481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923925</xdr:colOff>
      <xdr:row>32</xdr:row>
      <xdr:rowOff>0</xdr:rowOff>
    </xdr:from>
    <xdr:to>
      <xdr:col>7</xdr:col>
      <xdr:colOff>0</xdr:colOff>
      <xdr:row>32</xdr:row>
      <xdr:rowOff>0</xdr:rowOff>
    </xdr:to>
    <xdr:pic>
      <xdr:nvPicPr>
        <xdr:cNvPr id="11" name="Picture 15" descr="quark">
          <a:extLst>
            <a:ext uri="{FF2B5EF4-FFF2-40B4-BE49-F238E27FC236}">
              <a16:creationId xmlns:a16="http://schemas.microsoft.com/office/drawing/2014/main" id="{4DE51AB5-1710-43A0-8214-F5967829E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065" y="752856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714375</xdr:colOff>
      <xdr:row>32</xdr:row>
      <xdr:rowOff>0</xdr:rowOff>
    </xdr:from>
    <xdr:to>
      <xdr:col>2</xdr:col>
      <xdr:colOff>1066800</xdr:colOff>
      <xdr:row>32</xdr:row>
      <xdr:rowOff>0</xdr:rowOff>
    </xdr:to>
    <xdr:pic>
      <xdr:nvPicPr>
        <xdr:cNvPr id="12" name="Picture 16" descr="discreet-logo">
          <a:extLst>
            <a:ext uri="{FF2B5EF4-FFF2-40B4-BE49-F238E27FC236}">
              <a16:creationId xmlns:a16="http://schemas.microsoft.com/office/drawing/2014/main" id="{C140B316-0E92-49AB-ABF0-9697448FE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9295" y="7528560"/>
          <a:ext cx="352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0</xdr:colOff>
      <xdr:row>36</xdr:row>
      <xdr:rowOff>0</xdr:rowOff>
    </xdr:to>
    <xdr:pic>
      <xdr:nvPicPr>
        <xdr:cNvPr id="13" name="Picture 17" descr="aurora">
          <a:extLst>
            <a:ext uri="{FF2B5EF4-FFF2-40B4-BE49-F238E27FC236}">
              <a16:creationId xmlns:a16="http://schemas.microsoft.com/office/drawing/2014/main" id="{79D2957C-1CF0-479A-9725-B97E2AA55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846582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822983</xdr:colOff>
      <xdr:row>6</xdr:row>
      <xdr:rowOff>166558</xdr:rowOff>
    </xdr:from>
    <xdr:to>
      <xdr:col>5</xdr:col>
      <xdr:colOff>701497</xdr:colOff>
      <xdr:row>10</xdr:row>
      <xdr:rowOff>7352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B93F3F6-35CD-43EB-AC41-F80B4391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clrChange>
            <a:clrFrom>
              <a:srgbClr val="FAF8FD"/>
            </a:clrFrom>
            <a:clrTo>
              <a:srgbClr val="FAF8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660627">
          <a:off x="4255603" y="1732658"/>
          <a:ext cx="755194" cy="70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358429</xdr:colOff>
      <xdr:row>2</xdr:row>
      <xdr:rowOff>406400</xdr:rowOff>
    </xdr:to>
    <xdr:pic>
      <xdr:nvPicPr>
        <xdr:cNvPr id="15" name="그림 16">
          <a:extLst>
            <a:ext uri="{FF2B5EF4-FFF2-40B4-BE49-F238E27FC236}">
              <a16:creationId xmlns:a16="http://schemas.microsoft.com/office/drawing/2014/main" id="{4234DA8E-C09B-462F-A2B6-889D6751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3349" cy="77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7"/>
  <sheetViews>
    <sheetView tabSelected="1" topLeftCell="A5" workbookViewId="0">
      <selection activeCell="I26" sqref="I26"/>
    </sheetView>
  </sheetViews>
  <sheetFormatPr defaultRowHeight="14"/>
  <cols>
    <col min="1" max="1" width="6.9140625" customWidth="1"/>
    <col min="2" max="2" width="9.6640625" bestFit="1" customWidth="1"/>
    <col min="3" max="3" width="14.33203125" bestFit="1" customWidth="1"/>
    <col min="4" max="4" width="15.58203125" customWidth="1"/>
    <col min="5" max="5" width="9.6640625" customWidth="1"/>
    <col min="6" max="6" width="9.9140625" customWidth="1"/>
    <col min="7" max="7" width="10.6640625" customWidth="1"/>
    <col min="9" max="9" width="12.1640625" bestFit="1" customWidth="1"/>
  </cols>
  <sheetData>
    <row r="3" spans="1:11" ht="42" customHeight="1">
      <c r="A3" s="94" t="s">
        <v>0</v>
      </c>
      <c r="B3" s="95"/>
      <c r="C3" s="95"/>
      <c r="D3" s="95"/>
      <c r="E3" s="95"/>
      <c r="F3" s="95"/>
      <c r="G3" s="95"/>
    </row>
    <row r="4" spans="1:11" ht="14.25" customHeight="1">
      <c r="A4" s="1"/>
      <c r="B4" s="2"/>
      <c r="C4" s="3"/>
      <c r="D4" s="4"/>
      <c r="E4" s="1"/>
      <c r="F4" s="4"/>
      <c r="G4" s="1"/>
    </row>
    <row r="5" spans="1:11" ht="26" thickBot="1">
      <c r="A5" s="96" t="s">
        <v>57</v>
      </c>
      <c r="B5" s="96"/>
      <c r="C5" s="96"/>
      <c r="D5" s="5"/>
      <c r="E5" s="5"/>
      <c r="F5" s="5"/>
      <c r="G5" s="5"/>
    </row>
    <row r="6" spans="1:11" ht="11.25" customHeight="1" thickTop="1" thickBot="1">
      <c r="A6" s="6"/>
      <c r="B6" s="6"/>
      <c r="C6" s="7"/>
      <c r="D6" s="7"/>
      <c r="E6" s="8"/>
      <c r="F6" s="9"/>
      <c r="G6" s="10"/>
    </row>
    <row r="7" spans="1:11" ht="18" customHeight="1">
      <c r="A7" s="11" t="s">
        <v>29</v>
      </c>
      <c r="B7" s="12"/>
      <c r="C7" s="13"/>
      <c r="D7" s="97" t="s">
        <v>1</v>
      </c>
      <c r="E7" s="97"/>
      <c r="F7" s="97"/>
      <c r="G7" s="98"/>
    </row>
    <row r="8" spans="1:11" ht="18" customHeight="1">
      <c r="A8" s="14" t="s">
        <v>2</v>
      </c>
      <c r="B8" s="15"/>
      <c r="C8" s="16"/>
      <c r="D8" s="99" t="s">
        <v>3</v>
      </c>
      <c r="E8" s="99"/>
      <c r="F8" s="99"/>
      <c r="G8" s="100"/>
    </row>
    <row r="9" spans="1:11" ht="18" customHeight="1">
      <c r="A9" s="14" t="s">
        <v>4</v>
      </c>
      <c r="B9" s="15"/>
      <c r="C9" s="16"/>
      <c r="D9" s="99" t="s">
        <v>5</v>
      </c>
      <c r="E9" s="99"/>
      <c r="F9" s="99"/>
      <c r="G9" s="100"/>
    </row>
    <row r="10" spans="1:11" ht="18" customHeight="1">
      <c r="A10" s="14" t="s">
        <v>30</v>
      </c>
      <c r="B10" s="15"/>
      <c r="C10" s="16"/>
      <c r="D10" s="58" t="s">
        <v>6</v>
      </c>
      <c r="E10" s="58"/>
      <c r="F10" s="58"/>
      <c r="G10" s="59"/>
      <c r="K10" t="s">
        <v>28</v>
      </c>
    </row>
    <row r="11" spans="1:11" ht="18" customHeight="1" thickBot="1">
      <c r="A11" s="17" t="s">
        <v>60</v>
      </c>
      <c r="B11" s="18"/>
      <c r="C11" s="19"/>
      <c r="D11" s="92" t="s">
        <v>27</v>
      </c>
      <c r="E11" s="92"/>
      <c r="F11" s="92"/>
      <c r="G11" s="93"/>
    </row>
    <row r="12" spans="1:11" ht="11.25" customHeight="1">
      <c r="A12" s="20"/>
      <c r="B12" s="20"/>
      <c r="C12" s="21"/>
      <c r="D12" s="22"/>
      <c r="E12" s="22"/>
      <c r="F12" s="22"/>
      <c r="G12" s="23"/>
    </row>
    <row r="13" spans="1:11" ht="15">
      <c r="A13" s="24" t="s">
        <v>7</v>
      </c>
      <c r="B13" s="25"/>
      <c r="C13" s="22"/>
      <c r="D13" s="26" t="s">
        <v>8</v>
      </c>
      <c r="E13" s="22"/>
      <c r="F13" s="22"/>
      <c r="G13" s="23"/>
    </row>
    <row r="14" spans="1:11" ht="8.25" customHeight="1" thickBot="1">
      <c r="A14" s="27"/>
      <c r="B14" s="27"/>
      <c r="C14" s="22"/>
      <c r="D14" s="22"/>
      <c r="E14" s="22"/>
      <c r="F14" s="22"/>
      <c r="G14" s="23"/>
    </row>
    <row r="15" spans="1:11" ht="25.5" customHeight="1" thickBot="1">
      <c r="A15" s="28" t="s">
        <v>9</v>
      </c>
      <c r="B15" s="29"/>
      <c r="C15" s="30">
        <f>SUM(F41)</f>
        <v>3300000</v>
      </c>
      <c r="D15" s="101" t="str">
        <f>"("&amp;IF(MID(C15,1,1)="1","일금 : "&amp;NUMBERSTRING(C15,1),NUMBERSTRING(C15,1))&amp;"원정"&amp;"(VAT포함)"</f>
        <v>(삼백삼십만원정(VAT포함)</v>
      </c>
      <c r="E15" s="102"/>
      <c r="F15" s="102"/>
      <c r="G15" s="103"/>
    </row>
    <row r="16" spans="1:11">
      <c r="A16" s="31" t="s">
        <v>10</v>
      </c>
      <c r="B16" s="32" t="s">
        <v>11</v>
      </c>
      <c r="C16" s="104" t="s">
        <v>12</v>
      </c>
      <c r="D16" s="105"/>
      <c r="E16" s="32" t="s">
        <v>13</v>
      </c>
      <c r="F16" s="32" t="s">
        <v>14</v>
      </c>
      <c r="G16" s="33" t="s">
        <v>15</v>
      </c>
    </row>
    <row r="17" spans="1:9" ht="14.5" thickBot="1">
      <c r="A17" s="34" t="s">
        <v>16</v>
      </c>
      <c r="B17" s="35" t="s">
        <v>17</v>
      </c>
      <c r="C17" s="106" t="s">
        <v>18</v>
      </c>
      <c r="D17" s="107"/>
      <c r="E17" s="35" t="s">
        <v>19</v>
      </c>
      <c r="F17" s="35" t="s">
        <v>20</v>
      </c>
      <c r="G17" s="36" t="s">
        <v>21</v>
      </c>
    </row>
    <row r="18" spans="1:9" ht="21" customHeight="1" thickTop="1">
      <c r="A18" s="65" t="s">
        <v>36</v>
      </c>
      <c r="B18" s="66"/>
      <c r="C18" s="76" t="s">
        <v>58</v>
      </c>
      <c r="D18" s="77"/>
      <c r="E18" s="68">
        <v>3300000</v>
      </c>
      <c r="F18" s="66">
        <v>1</v>
      </c>
      <c r="G18" s="69">
        <f>E18*F18</f>
        <v>3300000</v>
      </c>
    </row>
    <row r="19" spans="1:9" ht="21" customHeight="1">
      <c r="A19" s="65"/>
      <c r="B19" s="66"/>
      <c r="C19" s="108" t="s">
        <v>37</v>
      </c>
      <c r="D19" s="109"/>
      <c r="E19" s="68"/>
      <c r="F19" s="66"/>
      <c r="G19" s="69"/>
    </row>
    <row r="20" spans="1:9" s="42" customFormat="1" ht="21" customHeight="1">
      <c r="A20" s="37">
        <v>1</v>
      </c>
      <c r="B20" s="60" t="s">
        <v>8</v>
      </c>
      <c r="C20" s="90" t="s">
        <v>46</v>
      </c>
      <c r="D20" s="91"/>
      <c r="E20" s="39" t="s">
        <v>36</v>
      </c>
      <c r="F20" s="40">
        <v>1</v>
      </c>
      <c r="G20" s="41" t="s">
        <v>36</v>
      </c>
      <c r="I20" s="61" t="s">
        <v>32</v>
      </c>
    </row>
    <row r="21" spans="1:9" s="42" customFormat="1" ht="21" customHeight="1">
      <c r="A21" s="37"/>
      <c r="B21" s="60"/>
      <c r="C21" s="74" t="s">
        <v>47</v>
      </c>
      <c r="D21" s="75"/>
      <c r="E21" s="39"/>
      <c r="F21" s="40" t="s">
        <v>36</v>
      </c>
      <c r="G21" s="41"/>
    </row>
    <row r="22" spans="1:9" s="42" customFormat="1" ht="21" customHeight="1">
      <c r="A22" s="37"/>
      <c r="B22" s="60"/>
      <c r="C22" s="74" t="s">
        <v>48</v>
      </c>
      <c r="D22" s="75"/>
      <c r="E22" s="39"/>
      <c r="F22" s="40" t="s">
        <v>36</v>
      </c>
      <c r="G22" s="41"/>
    </row>
    <row r="23" spans="1:9" s="42" customFormat="1" ht="21" customHeight="1">
      <c r="A23" s="37"/>
      <c r="B23" s="60"/>
      <c r="C23" s="74" t="s">
        <v>49</v>
      </c>
      <c r="D23" s="75"/>
      <c r="E23" s="39"/>
      <c r="F23" s="40" t="s">
        <v>36</v>
      </c>
      <c r="G23" s="41"/>
    </row>
    <row r="24" spans="1:9" s="42" customFormat="1" ht="21" customHeight="1">
      <c r="A24" s="37"/>
      <c r="B24" s="60"/>
      <c r="C24" s="74" t="s">
        <v>50</v>
      </c>
      <c r="D24" s="75"/>
      <c r="E24" s="39"/>
      <c r="F24" s="40" t="s">
        <v>36</v>
      </c>
      <c r="G24" s="41"/>
    </row>
    <row r="25" spans="1:9" s="42" customFormat="1" ht="21" customHeight="1">
      <c r="A25" s="37"/>
      <c r="B25" s="60"/>
      <c r="C25" s="74" t="s">
        <v>51</v>
      </c>
      <c r="D25" s="75"/>
      <c r="E25" s="39"/>
      <c r="F25" s="40" t="s">
        <v>36</v>
      </c>
      <c r="G25" s="41"/>
    </row>
    <row r="26" spans="1:9" s="42" customFormat="1" ht="21" customHeight="1">
      <c r="A26" s="37"/>
      <c r="B26" s="38"/>
      <c r="C26" s="74" t="s">
        <v>52</v>
      </c>
      <c r="D26" s="75"/>
      <c r="E26" s="43"/>
      <c r="F26" s="43"/>
      <c r="G26" s="44"/>
      <c r="I26" s="42">
        <f>R24</f>
        <v>0</v>
      </c>
    </row>
    <row r="27" spans="1:9" s="42" customFormat="1" ht="21" customHeight="1">
      <c r="A27" s="37"/>
      <c r="B27" s="38"/>
      <c r="C27" s="74" t="s">
        <v>53</v>
      </c>
      <c r="D27" s="75"/>
      <c r="E27" s="43"/>
      <c r="F27" s="43"/>
      <c r="G27" s="44"/>
    </row>
    <row r="28" spans="1:9" s="42" customFormat="1" ht="21" customHeight="1">
      <c r="A28" s="37">
        <v>2</v>
      </c>
      <c r="B28" s="38"/>
      <c r="C28" s="90" t="s">
        <v>54</v>
      </c>
      <c r="D28" s="91"/>
      <c r="E28" s="43"/>
      <c r="F28" s="38">
        <v>500</v>
      </c>
      <c r="G28" s="44"/>
    </row>
    <row r="29" spans="1:9" s="42" customFormat="1" ht="21" customHeight="1">
      <c r="A29" s="37"/>
      <c r="B29" s="38"/>
      <c r="C29" s="74" t="s">
        <v>55</v>
      </c>
      <c r="D29" s="75"/>
      <c r="E29" s="43" t="s">
        <v>36</v>
      </c>
      <c r="F29" s="43"/>
      <c r="G29" s="44"/>
    </row>
    <row r="30" spans="1:9" s="42" customFormat="1" ht="21" customHeight="1">
      <c r="A30" s="37"/>
      <c r="B30" s="38"/>
      <c r="C30" s="74" t="s">
        <v>56</v>
      </c>
      <c r="D30" s="75"/>
      <c r="E30" s="43"/>
      <c r="F30" s="43"/>
      <c r="G30" s="44"/>
    </row>
    <row r="31" spans="1:9" s="42" customFormat="1" ht="21" customHeight="1">
      <c r="A31" s="37"/>
      <c r="B31" s="38"/>
      <c r="C31" s="70"/>
      <c r="D31" s="62"/>
      <c r="E31" s="43"/>
      <c r="F31" s="43"/>
      <c r="G31" s="44"/>
    </row>
    <row r="32" spans="1:9" s="42" customFormat="1" ht="21" customHeight="1">
      <c r="A32" s="37"/>
      <c r="B32" s="38"/>
      <c r="C32" s="70"/>
      <c r="D32" s="62"/>
      <c r="E32" s="43"/>
      <c r="F32" s="43"/>
      <c r="G32" s="44"/>
    </row>
    <row r="33" spans="1:9" s="42" customFormat="1" ht="21" customHeight="1">
      <c r="A33" s="37"/>
      <c r="B33" s="38"/>
      <c r="C33" s="70"/>
      <c r="D33" s="62"/>
      <c r="E33" s="43"/>
      <c r="F33" s="43"/>
      <c r="G33" s="44"/>
    </row>
    <row r="34" spans="1:9" s="42" customFormat="1" ht="21" customHeight="1">
      <c r="A34" s="37"/>
      <c r="B34" s="38"/>
      <c r="C34" s="70"/>
      <c r="D34" s="62"/>
      <c r="E34" s="43"/>
      <c r="F34" s="43"/>
      <c r="G34" s="44"/>
    </row>
    <row r="35" spans="1:9" s="42" customFormat="1" ht="21" customHeight="1">
      <c r="A35" s="37"/>
      <c r="B35" s="38"/>
      <c r="C35" s="70"/>
      <c r="D35" s="62"/>
      <c r="E35" s="43"/>
      <c r="F35" s="43"/>
      <c r="G35" s="44"/>
    </row>
    <row r="36" spans="1:9" s="42" customFormat="1" ht="21" customHeight="1">
      <c r="A36" s="37"/>
      <c r="B36" s="38"/>
      <c r="C36" s="70"/>
      <c r="D36" s="62"/>
      <c r="E36" s="43"/>
      <c r="F36" s="43"/>
      <c r="G36" s="44"/>
    </row>
    <row r="37" spans="1:9" s="42" customFormat="1" ht="21" customHeight="1">
      <c r="A37" s="37"/>
      <c r="B37" s="38"/>
      <c r="C37" s="70"/>
      <c r="D37" s="62"/>
      <c r="E37" s="43"/>
      <c r="F37" s="43"/>
      <c r="G37" s="44"/>
    </row>
    <row r="38" spans="1:9" s="42" customFormat="1" ht="21" customHeight="1">
      <c r="A38" s="37"/>
      <c r="B38" s="38"/>
      <c r="C38" s="45"/>
      <c r="D38" s="46"/>
      <c r="E38" s="43"/>
      <c r="F38" s="43"/>
      <c r="G38" s="44"/>
    </row>
    <row r="39" spans="1:9" s="42" customFormat="1" ht="15.5" thickBot="1">
      <c r="A39" s="47" t="s">
        <v>22</v>
      </c>
      <c r="B39" s="84" t="s">
        <v>8</v>
      </c>
      <c r="C39" s="85"/>
      <c r="D39" s="86"/>
      <c r="E39" s="48" t="s">
        <v>23</v>
      </c>
      <c r="F39" s="82">
        <f>SUM(G18:G38)</f>
        <v>3300000</v>
      </c>
      <c r="G39" s="83">
        <f>SUM(G20:G38)</f>
        <v>0</v>
      </c>
    </row>
    <row r="40" spans="1:9" ht="15" thickTop="1">
      <c r="A40" s="37"/>
      <c r="B40" s="84" t="s">
        <v>8</v>
      </c>
      <c r="C40" s="85"/>
      <c r="D40" s="86"/>
      <c r="E40" s="48" t="s">
        <v>24</v>
      </c>
      <c r="F40" s="49"/>
      <c r="G40" s="50" t="s">
        <v>25</v>
      </c>
    </row>
    <row r="41" spans="1:9" ht="15" thickBot="1">
      <c r="A41" s="51"/>
      <c r="B41" s="87" t="s">
        <v>8</v>
      </c>
      <c r="C41" s="88"/>
      <c r="D41" s="89"/>
      <c r="E41" s="52" t="s">
        <v>26</v>
      </c>
      <c r="F41" s="82">
        <f>F39</f>
        <v>3300000</v>
      </c>
      <c r="G41" s="83"/>
    </row>
    <row r="42" spans="1:9" ht="15" thickTop="1" thickBot="1">
      <c r="A42" s="78" t="s">
        <v>33</v>
      </c>
      <c r="B42" s="79"/>
      <c r="C42" s="79"/>
      <c r="D42" s="79"/>
      <c r="E42" s="79"/>
      <c r="F42" s="79"/>
      <c r="G42" s="80"/>
      <c r="I42" s="71" t="s">
        <v>8</v>
      </c>
    </row>
    <row r="43" spans="1:9" ht="16.5" customHeight="1" thickBot="1">
      <c r="A43" s="53"/>
      <c r="B43" s="81"/>
      <c r="C43" s="81"/>
      <c r="D43" s="54"/>
      <c r="E43" s="55"/>
      <c r="F43" s="56"/>
      <c r="G43" s="57"/>
    </row>
    <row r="44" spans="1:9" ht="16.5" customHeight="1"/>
    <row r="45" spans="1:9" ht="16.5" customHeight="1"/>
    <row r="46" spans="1:9" ht="25.5" customHeight="1"/>
    <row r="47" spans="1:9" ht="29.25" customHeight="1"/>
  </sheetData>
  <mergeCells count="29">
    <mergeCell ref="C29:D29"/>
    <mergeCell ref="D11:G11"/>
    <mergeCell ref="A3:G3"/>
    <mergeCell ref="A5:C5"/>
    <mergeCell ref="D7:G7"/>
    <mergeCell ref="D8:G8"/>
    <mergeCell ref="D9:G9"/>
    <mergeCell ref="D15:G15"/>
    <mergeCell ref="C16:D16"/>
    <mergeCell ref="C17:D17"/>
    <mergeCell ref="C20:D20"/>
    <mergeCell ref="C23:D23"/>
    <mergeCell ref="C19:D19"/>
    <mergeCell ref="C30:D30"/>
    <mergeCell ref="C18:D18"/>
    <mergeCell ref="A42:G42"/>
    <mergeCell ref="B43:C43"/>
    <mergeCell ref="F39:G39"/>
    <mergeCell ref="C21:D21"/>
    <mergeCell ref="C26:D26"/>
    <mergeCell ref="B40:D40"/>
    <mergeCell ref="F41:G41"/>
    <mergeCell ref="C27:D27"/>
    <mergeCell ref="C24:D24"/>
    <mergeCell ref="C22:D22"/>
    <mergeCell ref="C25:D25"/>
    <mergeCell ref="B39:D39"/>
    <mergeCell ref="B41:D41"/>
    <mergeCell ref="C28:D28"/>
  </mergeCells>
  <phoneticPr fontId="4" type="noConversion"/>
  <pageMargins left="0.25" right="0.25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54FB-074D-4E90-B781-A416FC9AB4B2}">
  <dimension ref="A3:K37"/>
  <sheetViews>
    <sheetView workbookViewId="0">
      <selection activeCell="A11" sqref="A11"/>
    </sheetView>
  </sheetViews>
  <sheetFormatPr defaultRowHeight="14"/>
  <cols>
    <col min="1" max="1" width="6.9140625" customWidth="1"/>
    <col min="2" max="2" width="9.6640625" bestFit="1" customWidth="1"/>
    <col min="3" max="3" width="14.33203125" bestFit="1" customWidth="1"/>
    <col min="4" max="4" width="15.58203125" customWidth="1"/>
    <col min="5" max="5" width="9.6640625" customWidth="1"/>
    <col min="6" max="6" width="9.9140625" customWidth="1"/>
    <col min="7" max="7" width="10.6640625" customWidth="1"/>
    <col min="9" max="9" width="12.1640625" bestFit="1" customWidth="1"/>
    <col min="10" max="10" width="13.58203125" bestFit="1" customWidth="1"/>
  </cols>
  <sheetData>
    <row r="3" spans="1:11" ht="42" customHeight="1">
      <c r="A3" s="94" t="s">
        <v>0</v>
      </c>
      <c r="B3" s="95"/>
      <c r="C3" s="95"/>
      <c r="D3" s="95"/>
      <c r="E3" s="95"/>
      <c r="F3" s="95"/>
      <c r="G3" s="95"/>
    </row>
    <row r="4" spans="1:11" ht="14.25" customHeight="1">
      <c r="A4" s="1"/>
      <c r="B4" s="2"/>
      <c r="C4" s="3"/>
      <c r="D4" s="4"/>
      <c r="E4" s="1"/>
      <c r="F4" s="4"/>
      <c r="G4" s="1"/>
    </row>
    <row r="5" spans="1:11" ht="26" thickBot="1">
      <c r="A5" s="96" t="s">
        <v>34</v>
      </c>
      <c r="B5" s="96"/>
      <c r="C5" s="96"/>
      <c r="D5" s="5"/>
      <c r="E5" s="5"/>
      <c r="F5" s="5"/>
      <c r="G5" s="5"/>
    </row>
    <row r="6" spans="1:11" ht="11.25" customHeight="1" thickTop="1" thickBot="1">
      <c r="A6" s="6"/>
      <c r="B6" s="6"/>
      <c r="C6" s="7"/>
      <c r="D6" s="7"/>
      <c r="E6" s="8"/>
      <c r="F6" s="9"/>
      <c r="G6" s="10"/>
    </row>
    <row r="7" spans="1:11" ht="18" customHeight="1">
      <c r="A7" s="11" t="s">
        <v>29</v>
      </c>
      <c r="B7" s="12"/>
      <c r="C7" s="13"/>
      <c r="D7" s="97" t="s">
        <v>1</v>
      </c>
      <c r="E7" s="97"/>
      <c r="F7" s="97"/>
      <c r="G7" s="98"/>
    </row>
    <row r="8" spans="1:11" ht="18" customHeight="1">
      <c r="A8" s="14" t="s">
        <v>2</v>
      </c>
      <c r="B8" s="15"/>
      <c r="C8" s="16"/>
      <c r="D8" s="99" t="s">
        <v>3</v>
      </c>
      <c r="E8" s="99"/>
      <c r="F8" s="99"/>
      <c r="G8" s="100"/>
    </row>
    <row r="9" spans="1:11" ht="18" customHeight="1">
      <c r="A9" s="14" t="s">
        <v>4</v>
      </c>
      <c r="B9" s="15"/>
      <c r="C9" s="16"/>
      <c r="D9" s="99" t="s">
        <v>5</v>
      </c>
      <c r="E9" s="99"/>
      <c r="F9" s="99"/>
      <c r="G9" s="100"/>
    </row>
    <row r="10" spans="1:11" ht="18" customHeight="1">
      <c r="A10" s="14" t="s">
        <v>30</v>
      </c>
      <c r="B10" s="15"/>
      <c r="C10" s="16"/>
      <c r="D10" s="63" t="s">
        <v>6</v>
      </c>
      <c r="E10" s="63"/>
      <c r="F10" s="63"/>
      <c r="G10" s="64"/>
      <c r="K10" t="s">
        <v>8</v>
      </c>
    </row>
    <row r="11" spans="1:11" ht="18" customHeight="1" thickBot="1">
      <c r="A11" s="17" t="s">
        <v>60</v>
      </c>
      <c r="B11" s="18"/>
      <c r="C11" s="19"/>
      <c r="D11" s="92" t="s">
        <v>27</v>
      </c>
      <c r="E11" s="92"/>
      <c r="F11" s="92"/>
      <c r="G11" s="93"/>
    </row>
    <row r="12" spans="1:11" ht="11.25" customHeight="1">
      <c r="A12" s="20"/>
      <c r="B12" s="20"/>
      <c r="C12" s="21"/>
      <c r="D12" s="22"/>
      <c r="E12" s="22"/>
      <c r="F12" s="22"/>
      <c r="G12" s="23"/>
    </row>
    <row r="13" spans="1:11" ht="15">
      <c r="A13" s="24" t="s">
        <v>7</v>
      </c>
      <c r="B13" s="25"/>
      <c r="C13" s="22"/>
      <c r="D13" s="26" t="s">
        <v>8</v>
      </c>
      <c r="E13" s="22"/>
      <c r="F13" s="22"/>
      <c r="G13" s="23"/>
    </row>
    <row r="14" spans="1:11" ht="8.25" customHeight="1" thickBot="1">
      <c r="A14" s="27"/>
      <c r="B14" s="27"/>
      <c r="C14" s="22"/>
      <c r="D14" s="22"/>
      <c r="E14" s="22"/>
      <c r="F14" s="22"/>
      <c r="G14" s="23"/>
    </row>
    <row r="15" spans="1:11" ht="25.5" customHeight="1" thickBot="1">
      <c r="A15" s="28" t="s">
        <v>9</v>
      </c>
      <c r="B15" s="29"/>
      <c r="C15" s="30">
        <f>SUM(F31)</f>
        <v>37400000</v>
      </c>
      <c r="D15" s="101" t="str">
        <f>"("&amp;IF(MID(C15,1,1)="1","일금 : "&amp;NUMBERSTRING(C15,1),NUMBERSTRING(C15,1))&amp;"원정"&amp;"(VAT포함)"</f>
        <v>(삼천칠백사십만원정(VAT포함)</v>
      </c>
      <c r="E15" s="102"/>
      <c r="F15" s="102"/>
      <c r="G15" s="103"/>
    </row>
    <row r="16" spans="1:11">
      <c r="A16" s="31" t="s">
        <v>10</v>
      </c>
      <c r="B16" s="32" t="s">
        <v>11</v>
      </c>
      <c r="C16" s="104" t="s">
        <v>12</v>
      </c>
      <c r="D16" s="105"/>
      <c r="E16" s="32" t="s">
        <v>13</v>
      </c>
      <c r="F16" s="32" t="s">
        <v>14</v>
      </c>
      <c r="G16" s="33" t="s">
        <v>15</v>
      </c>
    </row>
    <row r="17" spans="1:10" ht="14.5" thickBot="1">
      <c r="A17" s="34" t="s">
        <v>16</v>
      </c>
      <c r="B17" s="35" t="s">
        <v>17</v>
      </c>
      <c r="C17" s="106" t="s">
        <v>18</v>
      </c>
      <c r="D17" s="107"/>
      <c r="E17" s="35" t="s">
        <v>19</v>
      </c>
      <c r="F17" s="35" t="s">
        <v>20</v>
      </c>
      <c r="G17" s="36" t="s">
        <v>21</v>
      </c>
    </row>
    <row r="18" spans="1:10" ht="21" customHeight="1" thickTop="1">
      <c r="A18" s="65">
        <v>1</v>
      </c>
      <c r="B18" s="66"/>
      <c r="C18" s="73" t="s">
        <v>59</v>
      </c>
      <c r="D18" s="67"/>
      <c r="E18" s="68">
        <v>37400000</v>
      </c>
      <c r="F18" s="66">
        <v>1</v>
      </c>
      <c r="G18" s="69">
        <f>E18*F18</f>
        <v>37400000</v>
      </c>
    </row>
    <row r="19" spans="1:10" ht="21" customHeight="1">
      <c r="A19" s="65"/>
      <c r="B19" s="66"/>
      <c r="C19" s="108" t="s">
        <v>37</v>
      </c>
      <c r="D19" s="109"/>
      <c r="E19" s="68"/>
      <c r="F19" s="66"/>
      <c r="G19" s="69"/>
    </row>
    <row r="20" spans="1:10" s="42" customFormat="1" ht="21" customHeight="1">
      <c r="A20" s="37" t="s">
        <v>36</v>
      </c>
      <c r="B20" s="60" t="s">
        <v>8</v>
      </c>
      <c r="C20" s="74" t="s">
        <v>35</v>
      </c>
      <c r="D20" s="75"/>
      <c r="E20" s="39">
        <v>0</v>
      </c>
      <c r="F20" s="40">
        <v>3</v>
      </c>
      <c r="G20" s="41">
        <f>F20*E20</f>
        <v>0</v>
      </c>
      <c r="I20" s="61" t="s">
        <v>8</v>
      </c>
    </row>
    <row r="21" spans="1:10" s="42" customFormat="1" ht="21" customHeight="1">
      <c r="A21" s="37"/>
      <c r="B21" s="60"/>
      <c r="C21" s="74" t="s">
        <v>38</v>
      </c>
      <c r="D21" s="75"/>
      <c r="E21" s="39"/>
      <c r="F21" s="40">
        <v>3</v>
      </c>
      <c r="G21" s="41"/>
    </row>
    <row r="22" spans="1:10" s="42" customFormat="1" ht="21" customHeight="1">
      <c r="A22" s="37"/>
      <c r="B22" s="60"/>
      <c r="C22" s="74" t="s">
        <v>39</v>
      </c>
      <c r="D22" s="75"/>
      <c r="E22" s="39"/>
      <c r="F22" s="40">
        <v>3</v>
      </c>
      <c r="G22" s="41"/>
    </row>
    <row r="23" spans="1:10" s="42" customFormat="1" ht="21" customHeight="1">
      <c r="A23" s="37"/>
      <c r="B23" s="60"/>
      <c r="C23" s="74" t="s">
        <v>40</v>
      </c>
      <c r="D23" s="75"/>
      <c r="E23" s="39"/>
      <c r="F23" s="40">
        <v>3</v>
      </c>
      <c r="G23" s="41"/>
    </row>
    <row r="24" spans="1:10" s="42" customFormat="1" ht="21" customHeight="1">
      <c r="A24" s="37"/>
      <c r="B24" s="60"/>
      <c r="C24" s="74" t="s">
        <v>41</v>
      </c>
      <c r="D24" s="75"/>
      <c r="E24" s="39"/>
      <c r="F24" s="40">
        <v>3</v>
      </c>
      <c r="G24" s="41"/>
    </row>
    <row r="25" spans="1:10" s="42" customFormat="1" ht="21" customHeight="1">
      <c r="A25" s="37"/>
      <c r="B25" s="60"/>
      <c r="C25" s="74" t="s">
        <v>42</v>
      </c>
      <c r="D25" s="75"/>
      <c r="E25" s="39"/>
      <c r="F25" s="40">
        <v>3</v>
      </c>
      <c r="G25" s="41"/>
    </row>
    <row r="26" spans="1:10" s="42" customFormat="1" ht="21" customHeight="1">
      <c r="A26" s="37"/>
      <c r="B26" s="38"/>
      <c r="C26" s="74" t="s">
        <v>31</v>
      </c>
      <c r="D26" s="75"/>
      <c r="E26" s="43"/>
      <c r="F26" s="43"/>
      <c r="G26" s="44"/>
    </row>
    <row r="27" spans="1:10" s="42" customFormat="1" ht="21" customHeight="1">
      <c r="A27" s="37"/>
      <c r="B27" s="38"/>
      <c r="C27" s="110" t="s">
        <v>8</v>
      </c>
      <c r="D27" s="111"/>
      <c r="E27" s="43"/>
      <c r="F27" s="43"/>
      <c r="G27" s="44"/>
    </row>
    <row r="28" spans="1:10" s="42" customFormat="1" ht="21" customHeight="1">
      <c r="A28" s="37"/>
      <c r="B28" s="38"/>
      <c r="C28" s="45"/>
      <c r="D28" s="46"/>
      <c r="E28" s="43"/>
      <c r="F28" s="43"/>
      <c r="G28" s="44"/>
    </row>
    <row r="29" spans="1:10" s="42" customFormat="1" ht="15.5" thickBot="1">
      <c r="A29" s="47" t="s">
        <v>22</v>
      </c>
      <c r="B29" s="84" t="s">
        <v>43</v>
      </c>
      <c r="C29" s="85"/>
      <c r="D29" s="86"/>
      <c r="E29" s="48" t="s">
        <v>23</v>
      </c>
      <c r="F29" s="82">
        <f>SUM(G18:G28)</f>
        <v>37400000</v>
      </c>
      <c r="G29" s="83">
        <f>SUM(G20:G28)</f>
        <v>0</v>
      </c>
      <c r="I29" s="42" t="s">
        <v>8</v>
      </c>
      <c r="J29" s="112" t="s">
        <v>8</v>
      </c>
    </row>
    <row r="30" spans="1:10" ht="15" thickTop="1">
      <c r="A30" s="37"/>
      <c r="B30" s="84" t="s">
        <v>44</v>
      </c>
      <c r="C30" s="85"/>
      <c r="D30" s="86"/>
      <c r="E30" s="48" t="s">
        <v>24</v>
      </c>
      <c r="F30" s="49"/>
      <c r="G30" s="50" t="s">
        <v>25</v>
      </c>
    </row>
    <row r="31" spans="1:10" ht="15" thickBot="1">
      <c r="A31" s="51"/>
      <c r="B31" s="87" t="s">
        <v>45</v>
      </c>
      <c r="C31" s="88"/>
      <c r="D31" s="89"/>
      <c r="E31" s="52" t="s">
        <v>26</v>
      </c>
      <c r="F31" s="82">
        <f>F29</f>
        <v>37400000</v>
      </c>
      <c r="G31" s="83"/>
      <c r="I31" s="71" t="s">
        <v>8</v>
      </c>
      <c r="J31" s="72" t="s">
        <v>8</v>
      </c>
    </row>
    <row r="32" spans="1:10" ht="15" thickTop="1" thickBot="1">
      <c r="A32" s="78" t="s">
        <v>33</v>
      </c>
      <c r="B32" s="79"/>
      <c r="C32" s="79"/>
      <c r="D32" s="79"/>
      <c r="E32" s="79"/>
      <c r="F32" s="79"/>
      <c r="G32" s="80"/>
    </row>
    <row r="33" spans="1:7" ht="16.5" customHeight="1" thickBot="1">
      <c r="A33" s="53"/>
      <c r="B33" s="81"/>
      <c r="C33" s="81"/>
      <c r="D33" s="54"/>
      <c r="E33" s="55"/>
      <c r="F33" s="56"/>
      <c r="G33" s="57"/>
    </row>
    <row r="34" spans="1:7" ht="16.5" customHeight="1"/>
    <row r="35" spans="1:7" ht="16.5" customHeight="1"/>
    <row r="36" spans="1:7" ht="25.5" customHeight="1"/>
    <row r="37" spans="1:7" ht="29.25" customHeight="1"/>
  </sheetData>
  <mergeCells count="25">
    <mergeCell ref="D11:G11"/>
    <mergeCell ref="A3:G3"/>
    <mergeCell ref="A5:C5"/>
    <mergeCell ref="D7:G7"/>
    <mergeCell ref="D8:G8"/>
    <mergeCell ref="D9:G9"/>
    <mergeCell ref="C27:D27"/>
    <mergeCell ref="D15:G15"/>
    <mergeCell ref="C16:D16"/>
    <mergeCell ref="C17:D17"/>
    <mergeCell ref="C19:D19"/>
    <mergeCell ref="C20:D20"/>
    <mergeCell ref="C21:D21"/>
    <mergeCell ref="C22:D22"/>
    <mergeCell ref="C23:D23"/>
    <mergeCell ref="C24:D24"/>
    <mergeCell ref="C25:D25"/>
    <mergeCell ref="C26:D26"/>
    <mergeCell ref="B33:C33"/>
    <mergeCell ref="B29:D29"/>
    <mergeCell ref="F29:G29"/>
    <mergeCell ref="B30:D30"/>
    <mergeCell ref="B31:D31"/>
    <mergeCell ref="F31:G31"/>
    <mergeCell ref="A32:G32"/>
  </mergeCells>
  <phoneticPr fontId="4" type="noConversion"/>
  <pageMargins left="0.25" right="0.25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모바일단말관리</vt:lpstr>
      <vt:lpstr>ASP 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아라</dc:creator>
  <cp:lastModifiedBy>park ara</cp:lastModifiedBy>
  <cp:lastPrinted>2016-05-13T02:13:24Z</cp:lastPrinted>
  <dcterms:created xsi:type="dcterms:W3CDTF">2012-07-06T07:39:03Z</dcterms:created>
  <dcterms:modified xsi:type="dcterms:W3CDTF">2026-03-27T03:12:51Z</dcterms:modified>
</cp:coreProperties>
</file>