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0" activeTab="0" autoFilterDateGrouping="1"/>
  </bookViews>
  <sheets>
    <sheet xmlns:r="http://schemas.openxmlformats.org/officeDocument/2006/relationships" name="모바일단말관리" sheetId="1" state="visible" r:id="rId1"/>
    <sheet xmlns:r="http://schemas.openxmlformats.org/officeDocument/2006/relationships" name="ASP SY" sheetId="2" state="visible" r:id="rId2"/>
  </sheets>
  <definedNames>
    <definedName name="_xlnm.Print_Area" localSheetId="0">'모바일단말관리'!$A$1:$H$43</definedName>
    <definedName name="_xlnm.Print_Area" localSheetId="1">'ASP SY'!$A$1:$H$37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);[Red]\(#,##0\)"/>
    <numFmt numFmtId="165" formatCode="_-* #,##0_-;\-* #,##0_-;_-* &quot;-&quot;_-;_-@_-"/>
    <numFmt numFmtId="166" formatCode="&quot;₩&quot;#,##0"/>
    <numFmt numFmtId="167" formatCode="0_);[Red]\(0\)"/>
    <numFmt numFmtId="168" formatCode="0&quot;개월&quot;"/>
  </numFmts>
  <fonts count="12">
    <font>
      <name val="돋움"/>
      <charset val="129"/>
      <family val="3"/>
      <sz val="11"/>
    </font>
    <font>
      <name val="돋움"/>
      <charset val="129"/>
      <family val="3"/>
      <sz val="11"/>
    </font>
    <font>
      <name val="맑은 고딕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sz val="9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8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1" fontId="1" fillId="0" borderId="0"/>
    <xf numFmtId="0" fontId="1" fillId="0" borderId="0"/>
  </cellStyleXfs>
  <cellXfs count="105">
    <xf numFmtId="0" fontId="0" fillId="0" borderId="0" pivotButton="0" quotePrefix="0" xfId="0"/>
    <xf numFmtId="0" fontId="2" fillId="0" borderId="1" pivotButton="0" quotePrefix="0" xfId="0"/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49" fontId="2" fillId="0" borderId="2" pivotButton="0" quotePrefix="0" xfId="0"/>
    <xf numFmtId="164" fontId="2" fillId="0" borderId="2" applyAlignment="1" pivotButton="0" quotePrefix="0" xfId="1">
      <alignment horizontal="center"/>
    </xf>
    <xf numFmtId="164" fontId="2" fillId="0" borderId="2" pivotButton="0" quotePrefix="0" xfId="1"/>
    <xf numFmtId="0" fontId="2" fillId="0" borderId="3" pivotButton="0" quotePrefix="0" xfId="0"/>
    <xf numFmtId="0" fontId="2" fillId="0" borderId="0" pivotButton="0" quotePrefix="0" xfId="0"/>
    <xf numFmtId="0" fontId="4" fillId="0" borderId="4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49" fontId="4" fillId="0" borderId="0" pivotButton="0" quotePrefix="0" xfId="0"/>
    <xf numFmtId="164" fontId="4" fillId="0" borderId="0" applyAlignment="1" pivotButton="0" quotePrefix="0" xfId="1">
      <alignment horizontal="center"/>
    </xf>
    <xf numFmtId="164" fontId="4" fillId="0" borderId="0" pivotButton="0" quotePrefix="0" xfId="1"/>
    <xf numFmtId="0" fontId="4" fillId="0" borderId="5" pivotButton="0" quotePrefix="0" xfId="0"/>
    <xf numFmtId="0" fontId="5" fillId="0" borderId="0" applyAlignment="1" pivotButton="0" quotePrefix="0" xfId="0">
      <alignment horizontal="distributed" vertical="center" indent="1" readingOrder="1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7" fillId="0" borderId="0" pivotButton="0" quotePrefix="0" xfId="0"/>
    <xf numFmtId="3" fontId="7" fillId="0" borderId="0" applyAlignment="1" pivotButton="0" quotePrefix="0" xfId="0">
      <alignment horizontal="left"/>
    </xf>
    <xf numFmtId="0" fontId="4" fillId="0" borderId="4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49" fontId="4" fillId="2" borderId="7" applyAlignment="1" pivotButton="0" quotePrefix="0" xfId="0">
      <alignment horizontal="center"/>
    </xf>
    <xf numFmtId="164" fontId="4" fillId="2" borderId="7" applyAlignment="1" pivotButton="0" quotePrefix="0" xfId="1">
      <alignment horizontal="center"/>
    </xf>
    <xf numFmtId="164" fontId="4" fillId="2" borderId="8" applyAlignment="1" pivotButton="0" quotePrefix="0" xfId="1">
      <alignment horizontal="center"/>
    </xf>
    <xf numFmtId="0" fontId="4" fillId="0" borderId="5" applyAlignment="1" pivotButton="0" quotePrefix="0" xfId="0">
      <alignment horizontal="center"/>
    </xf>
    <xf numFmtId="0" fontId="4" fillId="0" borderId="9" applyAlignment="1" pivotButton="0" quotePrefix="0" xfId="0">
      <alignment horizontal="center" vertical="center"/>
    </xf>
    <xf numFmtId="49" fontId="8" fillId="0" borderId="9" applyAlignment="1" applyProtection="1" pivotButton="0" quotePrefix="0" xfId="0">
      <alignment horizontal="center" vertical="center" shrinkToFit="1"/>
      <protection locked="0" hidden="0"/>
    </xf>
    <xf numFmtId="38" fontId="9" fillId="0" borderId="9" applyAlignment="1" pivotButton="0" quotePrefix="0" xfId="2">
      <alignment horizontal="center" vertical="center"/>
    </xf>
    <xf numFmtId="165" fontId="10" fillId="0" borderId="9" applyAlignment="1" pivotButton="0" quotePrefix="0" xfId="1">
      <alignment vertical="center"/>
    </xf>
    <xf numFmtId="165" fontId="10" fillId="0" borderId="9" applyAlignment="1" pivotButton="0" quotePrefix="0" xfId="1">
      <alignment horizontal="right" vertical="center"/>
    </xf>
    <xf numFmtId="0" fontId="4" fillId="0" borderId="10" pivotButton="0" quotePrefix="0" xfId="0"/>
    <xf numFmtId="3" fontId="4" fillId="0" borderId="0" pivotButton="0" quotePrefix="0" xfId="0"/>
    <xf numFmtId="165" fontId="4" fillId="0" borderId="0" pivotButton="0" quotePrefix="0" xfId="0"/>
    <xf numFmtId="49" fontId="4" fillId="0" borderId="9" applyAlignment="1" applyProtection="1" pivotButton="0" quotePrefix="0" xfId="0">
      <alignment horizontal="center" vertical="center" shrinkToFit="1"/>
      <protection locked="0" hidden="0"/>
    </xf>
    <xf numFmtId="166" fontId="4" fillId="0" borderId="10" applyAlignment="1" applyProtection="1" pivotButton="0" quotePrefix="0" xfId="0">
      <alignment vertical="center"/>
      <protection locked="0" hidden="0"/>
    </xf>
    <xf numFmtId="0" fontId="4" fillId="0" borderId="9" applyAlignment="1" pivotButton="0" quotePrefix="0" xfId="0">
      <alignment horizontal="center"/>
    </xf>
    <xf numFmtId="41" fontId="10" fillId="0" borderId="9" applyAlignment="1" pivotButton="0" quotePrefix="0" xfId="1">
      <alignment vertical="center"/>
    </xf>
    <xf numFmtId="166" fontId="4" fillId="0" borderId="5" applyAlignment="1" applyProtection="1" pivotButton="0" quotePrefix="0" xfId="0">
      <alignment vertical="center"/>
      <protection locked="0" hidden="0"/>
    </xf>
    <xf numFmtId="49" fontId="4" fillId="0" borderId="9" applyAlignment="1" applyProtection="1" pivotButton="0" quotePrefix="0" xfId="0">
      <alignment horizontal="center" vertical="center"/>
      <protection locked="0" hidden="0"/>
    </xf>
    <xf numFmtId="165" fontId="10" fillId="0" borderId="9" applyAlignment="1" pivotButton="0" quotePrefix="0" xfId="1">
      <alignment vertical="center"/>
    </xf>
    <xf numFmtId="0" fontId="10" fillId="0" borderId="9" applyAlignment="1" pivotButton="0" quotePrefix="0" xfId="1">
      <alignment horizontal="center" vertical="center"/>
    </xf>
    <xf numFmtId="41" fontId="10" fillId="0" borderId="9" applyAlignment="1" pivotButton="0" quotePrefix="0" xfId="1">
      <alignment horizontal="center" vertical="center"/>
    </xf>
    <xf numFmtId="167" fontId="4" fillId="0" borderId="9" applyAlignment="1" applyProtection="1" pivotButton="0" quotePrefix="0" xfId="0">
      <alignment horizontal="center" vertical="center"/>
      <protection locked="0" hidden="0"/>
    </xf>
    <xf numFmtId="3" fontId="4" fillId="0" borderId="9" pivotButton="0" quotePrefix="0" xfId="0"/>
    <xf numFmtId="165" fontId="4" fillId="0" borderId="9" applyAlignment="1" applyProtection="1" pivotButton="0" quotePrefix="0" xfId="1">
      <alignment vertical="center"/>
      <protection locked="0" hidden="0"/>
    </xf>
    <xf numFmtId="0" fontId="7" fillId="3" borderId="9" applyAlignment="1" pivotButton="0" quotePrefix="0" xfId="1">
      <alignment horizontal="center"/>
    </xf>
    <xf numFmtId="165" fontId="7" fillId="3" borderId="9" applyAlignment="1" pivotButton="0" quotePrefix="0" xfId="1">
      <alignment horizontal="right" vertical="center"/>
    </xf>
    <xf numFmtId="49" fontId="4" fillId="0" borderId="0" applyAlignment="1" applyProtection="1" pivotButton="0" quotePrefix="0" xfId="0">
      <alignment horizontal="center" vertical="center"/>
      <protection locked="0" hidden="0"/>
    </xf>
    <xf numFmtId="49" fontId="7" fillId="0" borderId="0" applyAlignment="1" pivotButton="0" quotePrefix="0" xfId="0">
      <alignment horizontal="center"/>
    </xf>
    <xf numFmtId="49" fontId="4" fillId="0" borderId="0" applyAlignment="1" applyProtection="1" pivotButton="0" quotePrefix="0" xfId="0">
      <alignment horizontal="left" vertical="center"/>
      <protection locked="0" hidden="0"/>
    </xf>
    <xf numFmtId="49" fontId="4" fillId="0" borderId="0" applyAlignment="1" pivotButton="0" quotePrefix="0" xfId="0">
      <alignment horizontal="left"/>
    </xf>
    <xf numFmtId="0" fontId="4" fillId="0" borderId="11" pivotButton="0" quotePrefix="0" xfId="0"/>
    <xf numFmtId="0" fontId="4" fillId="0" borderId="12" applyAlignment="1" pivotButton="0" quotePrefix="0" xfId="0">
      <alignment horizontal="left"/>
    </xf>
    <xf numFmtId="0" fontId="4" fillId="0" borderId="12" pivotButton="0" quotePrefix="0" xfId="0"/>
    <xf numFmtId="49" fontId="4" fillId="0" borderId="12" pivotButton="0" quotePrefix="0" xfId="0"/>
    <xf numFmtId="164" fontId="4" fillId="0" borderId="12" applyAlignment="1" pivotButton="0" quotePrefix="0" xfId="1">
      <alignment horizontal="center"/>
    </xf>
    <xf numFmtId="164" fontId="4" fillId="0" borderId="12" pivotButton="0" quotePrefix="0" xfId="1"/>
    <xf numFmtId="0" fontId="4" fillId="0" borderId="13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9" fontId="2" fillId="0" borderId="0" pivotButton="0" quotePrefix="0" xfId="0"/>
    <xf numFmtId="164" fontId="2" fillId="0" borderId="0" applyAlignment="1" pivotButton="0" quotePrefix="0" xfId="1">
      <alignment horizontal="center"/>
    </xf>
    <xf numFmtId="164" fontId="2" fillId="0" borderId="0" pivotButton="0" quotePrefix="0" xfId="1"/>
    <xf numFmtId="49" fontId="7" fillId="0" borderId="9" applyAlignment="1" applyProtection="1" pivotButton="0" quotePrefix="0" xfId="0">
      <alignment horizontal="left" vertical="center"/>
      <protection locked="0" hidden="0"/>
    </xf>
    <xf numFmtId="49" fontId="6" fillId="0" borderId="9" applyAlignment="1" applyProtection="1" pivotButton="0" quotePrefix="0" xfId="0">
      <alignment horizontal="left" vertical="center" wrapText="1"/>
      <protection locked="0" hidden="0"/>
    </xf>
    <xf numFmtId="49" fontId="6" fillId="0" borderId="9" applyAlignment="1" applyProtection="1" pivotButton="0" quotePrefix="0" xfId="0">
      <alignment horizontal="left" vertical="center"/>
      <protection locked="0" hidden="0"/>
    </xf>
    <xf numFmtId="49" fontId="11" fillId="0" borderId="9" applyAlignment="1" applyProtection="1" pivotButton="0" quotePrefix="1" xfId="0">
      <alignment horizontal="left" vertical="center"/>
      <protection locked="0" hidden="0"/>
    </xf>
    <xf numFmtId="168" fontId="9" fillId="0" borderId="9" applyAlignment="1" pivotButton="0" quotePrefix="0" xfId="2">
      <alignment horizontal="center" vertical="center"/>
    </xf>
    <xf numFmtId="49" fontId="7" fillId="3" borderId="9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1">
      <alignment horizontal="center"/>
    </xf>
    <xf numFmtId="164" fontId="2" fillId="0" borderId="0" pivotButton="0" quotePrefix="0" xfId="1"/>
    <xf numFmtId="164" fontId="2" fillId="0" borderId="2" applyAlignment="1" pivotButton="0" quotePrefix="0" xfId="1">
      <alignment horizontal="center"/>
    </xf>
    <xf numFmtId="164" fontId="2" fillId="0" borderId="2" pivotButton="0" quotePrefix="0" xfId="1"/>
    <xf numFmtId="164" fontId="4" fillId="0" borderId="0" applyAlignment="1" pivotButton="0" quotePrefix="0" xfId="1">
      <alignment horizontal="center"/>
    </xf>
    <xf numFmtId="164" fontId="4" fillId="0" borderId="0" pivotButton="0" quotePrefix="0" xfId="1"/>
    <xf numFmtId="164" fontId="4" fillId="2" borderId="7" applyAlignment="1" pivotButton="0" quotePrefix="0" xfId="1">
      <alignment horizontal="center"/>
    </xf>
    <xf numFmtId="164" fontId="4" fillId="2" borderId="8" applyAlignment="1" pivotButton="0" quotePrefix="0" xfId="1">
      <alignment horizontal="center"/>
    </xf>
    <xf numFmtId="49" fontId="6" fillId="0" borderId="9" applyAlignment="1" applyProtection="1" pivotButton="0" quotePrefix="0" xfId="0">
      <alignment vertical="center" wrapText="1"/>
      <protection locked="0" hidden="0"/>
    </xf>
    <xf numFmtId="168" fontId="9" fillId="0" borderId="9" applyAlignment="1" pivotButton="0" quotePrefix="0" xfId="2">
      <alignment horizontal="center" vertical="center"/>
    </xf>
    <xf numFmtId="165" fontId="10" fillId="0" borderId="9" applyAlignment="1" pivotButton="0" quotePrefix="0" xfId="1">
      <alignment vertical="center"/>
    </xf>
    <xf numFmtId="165" fontId="10" fillId="0" borderId="9" applyAlignment="1" pivotButton="0" quotePrefix="0" xfId="1">
      <alignment horizontal="right" vertical="center"/>
    </xf>
    <xf numFmtId="165" fontId="4" fillId="0" borderId="0" pivotButton="0" quotePrefix="0" xfId="0"/>
    <xf numFmtId="0" fontId="4" fillId="0" borderId="9" pivotButton="0" quotePrefix="0" xfId="0"/>
    <xf numFmtId="0" fontId="8" fillId="0" borderId="9" pivotButton="0" quotePrefix="0" xfId="0"/>
    <xf numFmtId="0" fontId="6" fillId="0" borderId="9" applyAlignment="1" pivotButton="0" quotePrefix="0" xfId="0">
      <alignment horizontal="left" vertical="center" indent="1"/>
    </xf>
    <xf numFmtId="0" fontId="9" fillId="0" borderId="9" pivotButton="0" quotePrefix="0" xfId="0"/>
    <xf numFmtId="0" fontId="10" fillId="0" borderId="9" pivotButton="0" quotePrefix="0" xfId="0"/>
    <xf numFmtId="166" fontId="4" fillId="0" borderId="10" applyAlignment="1" applyProtection="1" pivotButton="0" quotePrefix="0" xfId="0">
      <alignment vertical="center"/>
      <protection locked="0" hidden="0"/>
    </xf>
    <xf numFmtId="49" fontId="7" fillId="0" borderId="9" applyAlignment="1" applyProtection="1" pivotButton="0" quotePrefix="0" xfId="0">
      <alignment vertical="center" wrapText="1"/>
      <protection locked="0" hidden="0"/>
    </xf>
    <xf numFmtId="41" fontId="10" fillId="0" borderId="9" applyAlignment="1" pivotButton="0" quotePrefix="0" xfId="1">
      <alignment vertical="center"/>
    </xf>
    <xf numFmtId="166" fontId="4" fillId="0" borderId="5" applyAlignment="1" applyProtection="1" pivotButton="0" quotePrefix="0" xfId="0">
      <alignment vertical="center"/>
      <protection locked="0" hidden="0"/>
    </xf>
    <xf numFmtId="49" fontId="11" fillId="0" borderId="9" applyAlignment="1" applyProtection="1" pivotButton="0" quotePrefix="1" xfId="0">
      <alignment vertical="center" wrapText="1"/>
      <protection locked="0" hidden="0"/>
    </xf>
    <xf numFmtId="41" fontId="10" fillId="0" borderId="9" applyAlignment="1" pivotButton="0" quotePrefix="0" xfId="1">
      <alignment horizontal="center" vertical="center"/>
    </xf>
    <xf numFmtId="167" fontId="4" fillId="0" borderId="9" applyAlignment="1" applyProtection="1" pivotButton="0" quotePrefix="0" xfId="0">
      <alignment horizontal="center" vertical="center"/>
      <protection locked="0" hidden="0"/>
    </xf>
    <xf numFmtId="165" fontId="4" fillId="0" borderId="9" applyAlignment="1" applyProtection="1" pivotButton="0" quotePrefix="0" xfId="1">
      <alignment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165" fontId="7" fillId="3" borderId="9" applyAlignment="1" pivotButton="0" quotePrefix="0" xfId="1">
      <alignment horizontal="right" vertical="center"/>
    </xf>
    <xf numFmtId="164" fontId="4" fillId="0" borderId="12" applyAlignment="1" pivotButton="0" quotePrefix="0" xfId="1">
      <alignment horizontal="center"/>
    </xf>
    <xf numFmtId="164" fontId="4" fillId="0" borderId="12" pivotButton="0" quotePrefix="0" xfId="1"/>
  </cellXfs>
  <cellStyles count="3">
    <cellStyle name="표준" xfId="0" builtinId="0"/>
    <cellStyle name="쉼표 [0]" xfId="1" builtinId="6"/>
    <cellStyle name="=C:\WINNT\SYSTEM32\COMMAND.COM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/><Relationship Type="http://schemas.openxmlformats.org/officeDocument/2006/relationships/image" Target="/xl/media/image4.jpeg" Id="rId2"/></Relationships>
</file>

<file path=xl/drawings/drawing1.xml><?xml version="1.0" encoding="utf-8"?>
<wsDr xmlns="http://schemas.openxmlformats.org/drawingml/2006/spreadsheetDrawing">
  <twoCellAnchor>
    <from>
      <col>5</col>
      <colOff>28575</colOff>
      <row>6</row>
      <rowOff>0</rowOff>
    </from>
    <to>
      <col>6</col>
      <colOff>561975</colOff>
      <row>9</row>
      <rowOff>38100</rowOff>
    </to>
    <pic>
      <nvPicPr>
        <cNvPr id="3" name="Picture 3" descr="logo-hor(eng)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324600" y="1066800"/>
          <a:ext cx="1419225" cy="581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6</col>
      <colOff>265381</colOff>
      <row>12</row>
      <rowOff>149908</rowOff>
    </from>
    <to>
      <col>6</col>
      <colOff>798634</colOff>
      <row>15</row>
      <rowOff>147284</rowOff>
    </to>
    <pic>
      <nvPicPr>
        <cNvPr id="4" name="Picture 6" descr="가온아이_인감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  <duotone/>
          <lum bright="3000" contrast="27000"/>
        </a:blip>
        <a:srcRect xmlns:a="http://schemas.openxmlformats.org/drawingml/2006/main" l="4437" t="4411" r="6114" b="656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447231" y="2273983"/>
          <a:ext cx="533253" cy="5117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5</col>
      <colOff>28575</colOff>
      <row>6</row>
      <rowOff>0</rowOff>
    </from>
    <to>
      <col>6</col>
      <colOff>561975</colOff>
      <row>9</row>
      <rowOff>38100</rowOff>
    </to>
    <pic>
      <nvPicPr>
        <cNvPr id="3" name="Picture 3" descr="logo-hor(eng)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324600" y="1066800"/>
          <a:ext cx="1419225" cy="581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6</col>
      <colOff>265381</colOff>
      <row>12</row>
      <rowOff>149908</rowOff>
    </from>
    <to>
      <col>6</col>
      <colOff>798634</colOff>
      <row>15</row>
      <rowOff>147284</rowOff>
    </to>
    <pic>
      <nvPicPr>
        <cNvPr id="4" name="Picture 6" descr="가온아이_인감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  <duotone/>
          <lum bright="3000" contrast="27000"/>
        </a:blip>
        <a:srcRect xmlns:a="http://schemas.openxmlformats.org/drawingml/2006/main" l="4437" t="4411" r="6114" b="656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447231" y="2273983"/>
          <a:ext cx="533253" cy="5117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8"/>
  <sheetViews>
    <sheetView tabSelected="1" zoomScale="130" zoomScaleNormal="130" workbookViewId="0">
      <selection activeCell="C7" sqref="C7"/>
    </sheetView>
  </sheetViews>
  <sheetFormatPr baseColWidth="8" defaultRowHeight="16.5"/>
  <cols>
    <col width="1.77734375" customWidth="1" style="63" min="1" max="1"/>
    <col width="3.33203125" customWidth="1" style="64" min="2" max="2"/>
    <col width="12" customWidth="1" style="63" min="3" max="3"/>
    <col width="49.6640625" customWidth="1" style="65" min="4" max="4"/>
    <col width="6.6640625" bestFit="1" customWidth="1" style="74" min="5" max="5"/>
    <col width="10.33203125" customWidth="1" style="75" min="6" max="7"/>
    <col width="1.88671875" customWidth="1" style="63" min="8" max="8"/>
    <col width="8.88671875" customWidth="1" style="63" min="9" max="256"/>
    <col width="1.77734375" customWidth="1" style="63" min="257" max="257"/>
    <col width="3.33203125" customWidth="1" style="63" min="258" max="258"/>
    <col width="12" customWidth="1" style="63" min="259" max="259"/>
    <col width="49.6640625" customWidth="1" style="63" min="260" max="260"/>
    <col width="6.6640625" bestFit="1" customWidth="1" style="63" min="261" max="261"/>
    <col width="10.33203125" customWidth="1" style="63" min="262" max="263"/>
    <col width="1.88671875" customWidth="1" style="63" min="264" max="264"/>
    <col width="8.88671875" customWidth="1" style="63" min="265" max="512"/>
    <col width="1.77734375" customWidth="1" style="63" min="513" max="513"/>
    <col width="3.33203125" customWidth="1" style="63" min="514" max="514"/>
    <col width="12" customWidth="1" style="63" min="515" max="515"/>
    <col width="49.6640625" customWidth="1" style="63" min="516" max="516"/>
    <col width="6.6640625" bestFit="1" customWidth="1" style="63" min="517" max="517"/>
    <col width="10.33203125" customWidth="1" style="63" min="518" max="519"/>
    <col width="1.88671875" customWidth="1" style="63" min="520" max="520"/>
    <col width="8.88671875" customWidth="1" style="63" min="521" max="768"/>
    <col width="1.77734375" customWidth="1" style="63" min="769" max="769"/>
    <col width="3.33203125" customWidth="1" style="63" min="770" max="770"/>
    <col width="12" customWidth="1" style="63" min="771" max="771"/>
    <col width="49.6640625" customWidth="1" style="63" min="772" max="772"/>
    <col width="6.6640625" bestFit="1" customWidth="1" style="63" min="773" max="773"/>
    <col width="10.33203125" customWidth="1" style="63" min="774" max="775"/>
    <col width="1.88671875" customWidth="1" style="63" min="776" max="776"/>
    <col width="8.88671875" customWidth="1" style="63" min="777" max="1024"/>
    <col width="1.77734375" customWidth="1" style="63" min="1025" max="1025"/>
    <col width="3.33203125" customWidth="1" style="63" min="1026" max="1026"/>
    <col width="12" customWidth="1" style="63" min="1027" max="1027"/>
    <col width="49.6640625" customWidth="1" style="63" min="1028" max="1028"/>
    <col width="6.6640625" bestFit="1" customWidth="1" style="63" min="1029" max="1029"/>
    <col width="10.33203125" customWidth="1" style="63" min="1030" max="1031"/>
    <col width="1.88671875" customWidth="1" style="63" min="1032" max="1032"/>
    <col width="8.88671875" customWidth="1" style="63" min="1033" max="1280"/>
    <col width="1.77734375" customWidth="1" style="63" min="1281" max="1281"/>
    <col width="3.33203125" customWidth="1" style="63" min="1282" max="1282"/>
    <col width="12" customWidth="1" style="63" min="1283" max="1283"/>
    <col width="49.6640625" customWidth="1" style="63" min="1284" max="1284"/>
    <col width="6.6640625" bestFit="1" customWidth="1" style="63" min="1285" max="1285"/>
    <col width="10.33203125" customWidth="1" style="63" min="1286" max="1287"/>
    <col width="1.88671875" customWidth="1" style="63" min="1288" max="1288"/>
    <col width="8.88671875" customWidth="1" style="63" min="1289" max="1536"/>
    <col width="1.77734375" customWidth="1" style="63" min="1537" max="1537"/>
    <col width="3.33203125" customWidth="1" style="63" min="1538" max="1538"/>
    <col width="12" customWidth="1" style="63" min="1539" max="1539"/>
    <col width="49.6640625" customWidth="1" style="63" min="1540" max="1540"/>
    <col width="6.6640625" bestFit="1" customWidth="1" style="63" min="1541" max="1541"/>
    <col width="10.33203125" customWidth="1" style="63" min="1542" max="1543"/>
    <col width="1.88671875" customWidth="1" style="63" min="1544" max="1544"/>
    <col width="8.88671875" customWidth="1" style="63" min="1545" max="1792"/>
    <col width="1.77734375" customWidth="1" style="63" min="1793" max="1793"/>
    <col width="3.33203125" customWidth="1" style="63" min="1794" max="1794"/>
    <col width="12" customWidth="1" style="63" min="1795" max="1795"/>
    <col width="49.6640625" customWidth="1" style="63" min="1796" max="1796"/>
    <col width="6.6640625" bestFit="1" customWidth="1" style="63" min="1797" max="1797"/>
    <col width="10.33203125" customWidth="1" style="63" min="1798" max="1799"/>
    <col width="1.88671875" customWidth="1" style="63" min="1800" max="1800"/>
    <col width="8.88671875" customWidth="1" style="63" min="1801" max="2048"/>
    <col width="1.77734375" customWidth="1" style="63" min="2049" max="2049"/>
    <col width="3.33203125" customWidth="1" style="63" min="2050" max="2050"/>
    <col width="12" customWidth="1" style="63" min="2051" max="2051"/>
    <col width="49.6640625" customWidth="1" style="63" min="2052" max="2052"/>
    <col width="6.6640625" bestFit="1" customWidth="1" style="63" min="2053" max="2053"/>
    <col width="10.33203125" customWidth="1" style="63" min="2054" max="2055"/>
    <col width="1.88671875" customWidth="1" style="63" min="2056" max="2056"/>
    <col width="8.88671875" customWidth="1" style="63" min="2057" max="2304"/>
    <col width="1.77734375" customWidth="1" style="63" min="2305" max="2305"/>
    <col width="3.33203125" customWidth="1" style="63" min="2306" max="2306"/>
    <col width="12" customWidth="1" style="63" min="2307" max="2307"/>
    <col width="49.6640625" customWidth="1" style="63" min="2308" max="2308"/>
    <col width="6.6640625" bestFit="1" customWidth="1" style="63" min="2309" max="2309"/>
    <col width="10.33203125" customWidth="1" style="63" min="2310" max="2311"/>
    <col width="1.88671875" customWidth="1" style="63" min="2312" max="2312"/>
    <col width="8.88671875" customWidth="1" style="63" min="2313" max="2560"/>
    <col width="1.77734375" customWidth="1" style="63" min="2561" max="2561"/>
    <col width="3.33203125" customWidth="1" style="63" min="2562" max="2562"/>
    <col width="12" customWidth="1" style="63" min="2563" max="2563"/>
    <col width="49.6640625" customWidth="1" style="63" min="2564" max="2564"/>
    <col width="6.6640625" bestFit="1" customWidth="1" style="63" min="2565" max="2565"/>
    <col width="10.33203125" customWidth="1" style="63" min="2566" max="2567"/>
    <col width="1.88671875" customWidth="1" style="63" min="2568" max="2568"/>
    <col width="8.88671875" customWidth="1" style="63" min="2569" max="2816"/>
    <col width="1.77734375" customWidth="1" style="63" min="2817" max="2817"/>
    <col width="3.33203125" customWidth="1" style="63" min="2818" max="2818"/>
    <col width="12" customWidth="1" style="63" min="2819" max="2819"/>
    <col width="49.6640625" customWidth="1" style="63" min="2820" max="2820"/>
    <col width="6.6640625" bestFit="1" customWidth="1" style="63" min="2821" max="2821"/>
    <col width="10.33203125" customWidth="1" style="63" min="2822" max="2823"/>
    <col width="1.88671875" customWidth="1" style="63" min="2824" max="2824"/>
    <col width="8.88671875" customWidth="1" style="63" min="2825" max="3072"/>
    <col width="1.77734375" customWidth="1" style="63" min="3073" max="3073"/>
    <col width="3.33203125" customWidth="1" style="63" min="3074" max="3074"/>
    <col width="12" customWidth="1" style="63" min="3075" max="3075"/>
    <col width="49.6640625" customWidth="1" style="63" min="3076" max="3076"/>
    <col width="6.6640625" bestFit="1" customWidth="1" style="63" min="3077" max="3077"/>
    <col width="10.33203125" customWidth="1" style="63" min="3078" max="3079"/>
    <col width="1.88671875" customWidth="1" style="63" min="3080" max="3080"/>
    <col width="8.88671875" customWidth="1" style="63" min="3081" max="3328"/>
    <col width="1.77734375" customWidth="1" style="63" min="3329" max="3329"/>
    <col width="3.33203125" customWidth="1" style="63" min="3330" max="3330"/>
    <col width="12" customWidth="1" style="63" min="3331" max="3331"/>
    <col width="49.6640625" customWidth="1" style="63" min="3332" max="3332"/>
    <col width="6.6640625" bestFit="1" customWidth="1" style="63" min="3333" max="3333"/>
    <col width="10.33203125" customWidth="1" style="63" min="3334" max="3335"/>
    <col width="1.88671875" customWidth="1" style="63" min="3336" max="3336"/>
    <col width="8.88671875" customWidth="1" style="63" min="3337" max="3584"/>
    <col width="1.77734375" customWidth="1" style="63" min="3585" max="3585"/>
    <col width="3.33203125" customWidth="1" style="63" min="3586" max="3586"/>
    <col width="12" customWidth="1" style="63" min="3587" max="3587"/>
    <col width="49.6640625" customWidth="1" style="63" min="3588" max="3588"/>
    <col width="6.6640625" bestFit="1" customWidth="1" style="63" min="3589" max="3589"/>
    <col width="10.33203125" customWidth="1" style="63" min="3590" max="3591"/>
    <col width="1.88671875" customWidth="1" style="63" min="3592" max="3592"/>
    <col width="8.88671875" customWidth="1" style="63" min="3593" max="3840"/>
    <col width="1.77734375" customWidth="1" style="63" min="3841" max="3841"/>
    <col width="3.33203125" customWidth="1" style="63" min="3842" max="3842"/>
    <col width="12" customWidth="1" style="63" min="3843" max="3843"/>
    <col width="49.6640625" customWidth="1" style="63" min="3844" max="3844"/>
    <col width="6.6640625" bestFit="1" customWidth="1" style="63" min="3845" max="3845"/>
    <col width="10.33203125" customWidth="1" style="63" min="3846" max="3847"/>
    <col width="1.88671875" customWidth="1" style="63" min="3848" max="3848"/>
    <col width="8.88671875" customWidth="1" style="63" min="3849" max="4096"/>
    <col width="1.77734375" customWidth="1" style="63" min="4097" max="4097"/>
    <col width="3.33203125" customWidth="1" style="63" min="4098" max="4098"/>
    <col width="12" customWidth="1" style="63" min="4099" max="4099"/>
    <col width="49.6640625" customWidth="1" style="63" min="4100" max="4100"/>
    <col width="6.6640625" bestFit="1" customWidth="1" style="63" min="4101" max="4101"/>
    <col width="10.33203125" customWidth="1" style="63" min="4102" max="4103"/>
    <col width="1.88671875" customWidth="1" style="63" min="4104" max="4104"/>
    <col width="8.88671875" customWidth="1" style="63" min="4105" max="4352"/>
    <col width="1.77734375" customWidth="1" style="63" min="4353" max="4353"/>
    <col width="3.33203125" customWidth="1" style="63" min="4354" max="4354"/>
    <col width="12" customWidth="1" style="63" min="4355" max="4355"/>
    <col width="49.6640625" customWidth="1" style="63" min="4356" max="4356"/>
    <col width="6.6640625" bestFit="1" customWidth="1" style="63" min="4357" max="4357"/>
    <col width="10.33203125" customWidth="1" style="63" min="4358" max="4359"/>
    <col width="1.88671875" customWidth="1" style="63" min="4360" max="4360"/>
    <col width="8.88671875" customWidth="1" style="63" min="4361" max="4608"/>
    <col width="1.77734375" customWidth="1" style="63" min="4609" max="4609"/>
    <col width="3.33203125" customWidth="1" style="63" min="4610" max="4610"/>
    <col width="12" customWidth="1" style="63" min="4611" max="4611"/>
    <col width="49.6640625" customWidth="1" style="63" min="4612" max="4612"/>
    <col width="6.6640625" bestFit="1" customWidth="1" style="63" min="4613" max="4613"/>
    <col width="10.33203125" customWidth="1" style="63" min="4614" max="4615"/>
    <col width="1.88671875" customWidth="1" style="63" min="4616" max="4616"/>
    <col width="8.88671875" customWidth="1" style="63" min="4617" max="4864"/>
    <col width="1.77734375" customWidth="1" style="63" min="4865" max="4865"/>
    <col width="3.33203125" customWidth="1" style="63" min="4866" max="4866"/>
    <col width="12" customWidth="1" style="63" min="4867" max="4867"/>
    <col width="49.6640625" customWidth="1" style="63" min="4868" max="4868"/>
    <col width="6.6640625" bestFit="1" customWidth="1" style="63" min="4869" max="4869"/>
    <col width="10.33203125" customWidth="1" style="63" min="4870" max="4871"/>
    <col width="1.88671875" customWidth="1" style="63" min="4872" max="4872"/>
    <col width="8.88671875" customWidth="1" style="63" min="4873" max="5120"/>
    <col width="1.77734375" customWidth="1" style="63" min="5121" max="5121"/>
    <col width="3.33203125" customWidth="1" style="63" min="5122" max="5122"/>
    <col width="12" customWidth="1" style="63" min="5123" max="5123"/>
    <col width="49.6640625" customWidth="1" style="63" min="5124" max="5124"/>
    <col width="6.6640625" bestFit="1" customWidth="1" style="63" min="5125" max="5125"/>
    <col width="10.33203125" customWidth="1" style="63" min="5126" max="5127"/>
    <col width="1.88671875" customWidth="1" style="63" min="5128" max="5128"/>
    <col width="8.88671875" customWidth="1" style="63" min="5129" max="5376"/>
    <col width="1.77734375" customWidth="1" style="63" min="5377" max="5377"/>
    <col width="3.33203125" customWidth="1" style="63" min="5378" max="5378"/>
    <col width="12" customWidth="1" style="63" min="5379" max="5379"/>
    <col width="49.6640625" customWidth="1" style="63" min="5380" max="5380"/>
    <col width="6.6640625" bestFit="1" customWidth="1" style="63" min="5381" max="5381"/>
    <col width="10.33203125" customWidth="1" style="63" min="5382" max="5383"/>
    <col width="1.88671875" customWidth="1" style="63" min="5384" max="5384"/>
    <col width="8.88671875" customWidth="1" style="63" min="5385" max="5632"/>
    <col width="1.77734375" customWidth="1" style="63" min="5633" max="5633"/>
    <col width="3.33203125" customWidth="1" style="63" min="5634" max="5634"/>
    <col width="12" customWidth="1" style="63" min="5635" max="5635"/>
    <col width="49.6640625" customWidth="1" style="63" min="5636" max="5636"/>
    <col width="6.6640625" bestFit="1" customWidth="1" style="63" min="5637" max="5637"/>
    <col width="10.33203125" customWidth="1" style="63" min="5638" max="5639"/>
    <col width="1.88671875" customWidth="1" style="63" min="5640" max="5640"/>
    <col width="8.88671875" customWidth="1" style="63" min="5641" max="5888"/>
    <col width="1.77734375" customWidth="1" style="63" min="5889" max="5889"/>
    <col width="3.33203125" customWidth="1" style="63" min="5890" max="5890"/>
    <col width="12" customWidth="1" style="63" min="5891" max="5891"/>
    <col width="49.6640625" customWidth="1" style="63" min="5892" max="5892"/>
    <col width="6.6640625" bestFit="1" customWidth="1" style="63" min="5893" max="5893"/>
    <col width="10.33203125" customWidth="1" style="63" min="5894" max="5895"/>
    <col width="1.88671875" customWidth="1" style="63" min="5896" max="5896"/>
    <col width="8.88671875" customWidth="1" style="63" min="5897" max="6144"/>
    <col width="1.77734375" customWidth="1" style="63" min="6145" max="6145"/>
    <col width="3.33203125" customWidth="1" style="63" min="6146" max="6146"/>
    <col width="12" customWidth="1" style="63" min="6147" max="6147"/>
    <col width="49.6640625" customWidth="1" style="63" min="6148" max="6148"/>
    <col width="6.6640625" bestFit="1" customWidth="1" style="63" min="6149" max="6149"/>
    <col width="10.33203125" customWidth="1" style="63" min="6150" max="6151"/>
    <col width="1.88671875" customWidth="1" style="63" min="6152" max="6152"/>
    <col width="8.88671875" customWidth="1" style="63" min="6153" max="6400"/>
    <col width="1.77734375" customWidth="1" style="63" min="6401" max="6401"/>
    <col width="3.33203125" customWidth="1" style="63" min="6402" max="6402"/>
    <col width="12" customWidth="1" style="63" min="6403" max="6403"/>
    <col width="49.6640625" customWidth="1" style="63" min="6404" max="6404"/>
    <col width="6.6640625" bestFit="1" customWidth="1" style="63" min="6405" max="6405"/>
    <col width="10.33203125" customWidth="1" style="63" min="6406" max="6407"/>
    <col width="1.88671875" customWidth="1" style="63" min="6408" max="6408"/>
    <col width="8.88671875" customWidth="1" style="63" min="6409" max="6656"/>
    <col width="1.77734375" customWidth="1" style="63" min="6657" max="6657"/>
    <col width="3.33203125" customWidth="1" style="63" min="6658" max="6658"/>
    <col width="12" customWidth="1" style="63" min="6659" max="6659"/>
    <col width="49.6640625" customWidth="1" style="63" min="6660" max="6660"/>
    <col width="6.6640625" bestFit="1" customWidth="1" style="63" min="6661" max="6661"/>
    <col width="10.33203125" customWidth="1" style="63" min="6662" max="6663"/>
    <col width="1.88671875" customWidth="1" style="63" min="6664" max="6664"/>
    <col width="8.88671875" customWidth="1" style="63" min="6665" max="6912"/>
    <col width="1.77734375" customWidth="1" style="63" min="6913" max="6913"/>
    <col width="3.33203125" customWidth="1" style="63" min="6914" max="6914"/>
    <col width="12" customWidth="1" style="63" min="6915" max="6915"/>
    <col width="49.6640625" customWidth="1" style="63" min="6916" max="6916"/>
    <col width="6.6640625" bestFit="1" customWidth="1" style="63" min="6917" max="6917"/>
    <col width="10.33203125" customWidth="1" style="63" min="6918" max="6919"/>
    <col width="1.88671875" customWidth="1" style="63" min="6920" max="6920"/>
    <col width="8.88671875" customWidth="1" style="63" min="6921" max="7168"/>
    <col width="1.77734375" customWidth="1" style="63" min="7169" max="7169"/>
    <col width="3.33203125" customWidth="1" style="63" min="7170" max="7170"/>
    <col width="12" customWidth="1" style="63" min="7171" max="7171"/>
    <col width="49.6640625" customWidth="1" style="63" min="7172" max="7172"/>
    <col width="6.6640625" bestFit="1" customWidth="1" style="63" min="7173" max="7173"/>
    <col width="10.33203125" customWidth="1" style="63" min="7174" max="7175"/>
    <col width="1.88671875" customWidth="1" style="63" min="7176" max="7176"/>
    <col width="8.88671875" customWidth="1" style="63" min="7177" max="7424"/>
    <col width="1.77734375" customWidth="1" style="63" min="7425" max="7425"/>
    <col width="3.33203125" customWidth="1" style="63" min="7426" max="7426"/>
    <col width="12" customWidth="1" style="63" min="7427" max="7427"/>
    <col width="49.6640625" customWidth="1" style="63" min="7428" max="7428"/>
    <col width="6.6640625" bestFit="1" customWidth="1" style="63" min="7429" max="7429"/>
    <col width="10.33203125" customWidth="1" style="63" min="7430" max="7431"/>
    <col width="1.88671875" customWidth="1" style="63" min="7432" max="7432"/>
    <col width="8.88671875" customWidth="1" style="63" min="7433" max="7680"/>
    <col width="1.77734375" customWidth="1" style="63" min="7681" max="7681"/>
    <col width="3.33203125" customWidth="1" style="63" min="7682" max="7682"/>
    <col width="12" customWidth="1" style="63" min="7683" max="7683"/>
    <col width="49.6640625" customWidth="1" style="63" min="7684" max="7684"/>
    <col width="6.6640625" bestFit="1" customWidth="1" style="63" min="7685" max="7685"/>
    <col width="10.33203125" customWidth="1" style="63" min="7686" max="7687"/>
    <col width="1.88671875" customWidth="1" style="63" min="7688" max="7688"/>
    <col width="8.88671875" customWidth="1" style="63" min="7689" max="7936"/>
    <col width="1.77734375" customWidth="1" style="63" min="7937" max="7937"/>
    <col width="3.33203125" customWidth="1" style="63" min="7938" max="7938"/>
    <col width="12" customWidth="1" style="63" min="7939" max="7939"/>
    <col width="49.6640625" customWidth="1" style="63" min="7940" max="7940"/>
    <col width="6.6640625" bestFit="1" customWidth="1" style="63" min="7941" max="7941"/>
    <col width="10.33203125" customWidth="1" style="63" min="7942" max="7943"/>
    <col width="1.88671875" customWidth="1" style="63" min="7944" max="7944"/>
    <col width="8.88671875" customWidth="1" style="63" min="7945" max="8192"/>
    <col width="1.77734375" customWidth="1" style="63" min="8193" max="8193"/>
    <col width="3.33203125" customWidth="1" style="63" min="8194" max="8194"/>
    <col width="12" customWidth="1" style="63" min="8195" max="8195"/>
    <col width="49.6640625" customWidth="1" style="63" min="8196" max="8196"/>
    <col width="6.6640625" bestFit="1" customWidth="1" style="63" min="8197" max="8197"/>
    <col width="10.33203125" customWidth="1" style="63" min="8198" max="8199"/>
    <col width="1.88671875" customWidth="1" style="63" min="8200" max="8200"/>
    <col width="8.88671875" customWidth="1" style="63" min="8201" max="8448"/>
    <col width="1.77734375" customWidth="1" style="63" min="8449" max="8449"/>
    <col width="3.33203125" customWidth="1" style="63" min="8450" max="8450"/>
    <col width="12" customWidth="1" style="63" min="8451" max="8451"/>
    <col width="49.6640625" customWidth="1" style="63" min="8452" max="8452"/>
    <col width="6.6640625" bestFit="1" customWidth="1" style="63" min="8453" max="8453"/>
    <col width="10.33203125" customWidth="1" style="63" min="8454" max="8455"/>
    <col width="1.88671875" customWidth="1" style="63" min="8456" max="8456"/>
    <col width="8.88671875" customWidth="1" style="63" min="8457" max="8704"/>
    <col width="1.77734375" customWidth="1" style="63" min="8705" max="8705"/>
    <col width="3.33203125" customWidth="1" style="63" min="8706" max="8706"/>
    <col width="12" customWidth="1" style="63" min="8707" max="8707"/>
    <col width="49.6640625" customWidth="1" style="63" min="8708" max="8708"/>
    <col width="6.6640625" bestFit="1" customWidth="1" style="63" min="8709" max="8709"/>
    <col width="10.33203125" customWidth="1" style="63" min="8710" max="8711"/>
    <col width="1.88671875" customWidth="1" style="63" min="8712" max="8712"/>
    <col width="8.88671875" customWidth="1" style="63" min="8713" max="8960"/>
    <col width="1.77734375" customWidth="1" style="63" min="8961" max="8961"/>
    <col width="3.33203125" customWidth="1" style="63" min="8962" max="8962"/>
    <col width="12" customWidth="1" style="63" min="8963" max="8963"/>
    <col width="49.6640625" customWidth="1" style="63" min="8964" max="8964"/>
    <col width="6.6640625" bestFit="1" customWidth="1" style="63" min="8965" max="8965"/>
    <col width="10.33203125" customWidth="1" style="63" min="8966" max="8967"/>
    <col width="1.88671875" customWidth="1" style="63" min="8968" max="8968"/>
    <col width="8.88671875" customWidth="1" style="63" min="8969" max="9216"/>
    <col width="1.77734375" customWidth="1" style="63" min="9217" max="9217"/>
    <col width="3.33203125" customWidth="1" style="63" min="9218" max="9218"/>
    <col width="12" customWidth="1" style="63" min="9219" max="9219"/>
    <col width="49.6640625" customWidth="1" style="63" min="9220" max="9220"/>
    <col width="6.6640625" bestFit="1" customWidth="1" style="63" min="9221" max="9221"/>
    <col width="10.33203125" customWidth="1" style="63" min="9222" max="9223"/>
    <col width="1.88671875" customWidth="1" style="63" min="9224" max="9224"/>
    <col width="8.88671875" customWidth="1" style="63" min="9225" max="9472"/>
    <col width="1.77734375" customWidth="1" style="63" min="9473" max="9473"/>
    <col width="3.33203125" customWidth="1" style="63" min="9474" max="9474"/>
    <col width="12" customWidth="1" style="63" min="9475" max="9475"/>
    <col width="49.6640625" customWidth="1" style="63" min="9476" max="9476"/>
    <col width="6.6640625" bestFit="1" customWidth="1" style="63" min="9477" max="9477"/>
    <col width="10.33203125" customWidth="1" style="63" min="9478" max="9479"/>
    <col width="1.88671875" customWidth="1" style="63" min="9480" max="9480"/>
    <col width="8.88671875" customWidth="1" style="63" min="9481" max="9728"/>
    <col width="1.77734375" customWidth="1" style="63" min="9729" max="9729"/>
    <col width="3.33203125" customWidth="1" style="63" min="9730" max="9730"/>
    <col width="12" customWidth="1" style="63" min="9731" max="9731"/>
    <col width="49.6640625" customWidth="1" style="63" min="9732" max="9732"/>
    <col width="6.6640625" bestFit="1" customWidth="1" style="63" min="9733" max="9733"/>
    <col width="10.33203125" customWidth="1" style="63" min="9734" max="9735"/>
    <col width="1.88671875" customWidth="1" style="63" min="9736" max="9736"/>
    <col width="8.88671875" customWidth="1" style="63" min="9737" max="9984"/>
    <col width="1.77734375" customWidth="1" style="63" min="9985" max="9985"/>
    <col width="3.33203125" customWidth="1" style="63" min="9986" max="9986"/>
    <col width="12" customWidth="1" style="63" min="9987" max="9987"/>
    <col width="49.6640625" customWidth="1" style="63" min="9988" max="9988"/>
    <col width="6.6640625" bestFit="1" customWidth="1" style="63" min="9989" max="9989"/>
    <col width="10.33203125" customWidth="1" style="63" min="9990" max="9991"/>
    <col width="1.88671875" customWidth="1" style="63" min="9992" max="9992"/>
    <col width="8.88671875" customWidth="1" style="63" min="9993" max="10240"/>
    <col width="1.77734375" customWidth="1" style="63" min="10241" max="10241"/>
    <col width="3.33203125" customWidth="1" style="63" min="10242" max="10242"/>
    <col width="12" customWidth="1" style="63" min="10243" max="10243"/>
    <col width="49.6640625" customWidth="1" style="63" min="10244" max="10244"/>
    <col width="6.6640625" bestFit="1" customWidth="1" style="63" min="10245" max="10245"/>
    <col width="10.33203125" customWidth="1" style="63" min="10246" max="10247"/>
    <col width="1.88671875" customWidth="1" style="63" min="10248" max="10248"/>
    <col width="8.88671875" customWidth="1" style="63" min="10249" max="10496"/>
    <col width="1.77734375" customWidth="1" style="63" min="10497" max="10497"/>
    <col width="3.33203125" customWidth="1" style="63" min="10498" max="10498"/>
    <col width="12" customWidth="1" style="63" min="10499" max="10499"/>
    <col width="49.6640625" customWidth="1" style="63" min="10500" max="10500"/>
    <col width="6.6640625" bestFit="1" customWidth="1" style="63" min="10501" max="10501"/>
    <col width="10.33203125" customWidth="1" style="63" min="10502" max="10503"/>
    <col width="1.88671875" customWidth="1" style="63" min="10504" max="10504"/>
    <col width="8.88671875" customWidth="1" style="63" min="10505" max="10752"/>
    <col width="1.77734375" customWidth="1" style="63" min="10753" max="10753"/>
    <col width="3.33203125" customWidth="1" style="63" min="10754" max="10754"/>
    <col width="12" customWidth="1" style="63" min="10755" max="10755"/>
    <col width="49.6640625" customWidth="1" style="63" min="10756" max="10756"/>
    <col width="6.6640625" bestFit="1" customWidth="1" style="63" min="10757" max="10757"/>
    <col width="10.33203125" customWidth="1" style="63" min="10758" max="10759"/>
    <col width="1.88671875" customWidth="1" style="63" min="10760" max="10760"/>
    <col width="8.88671875" customWidth="1" style="63" min="10761" max="11008"/>
    <col width="1.77734375" customWidth="1" style="63" min="11009" max="11009"/>
    <col width="3.33203125" customWidth="1" style="63" min="11010" max="11010"/>
    <col width="12" customWidth="1" style="63" min="11011" max="11011"/>
    <col width="49.6640625" customWidth="1" style="63" min="11012" max="11012"/>
    <col width="6.6640625" bestFit="1" customWidth="1" style="63" min="11013" max="11013"/>
    <col width="10.33203125" customWidth="1" style="63" min="11014" max="11015"/>
    <col width="1.88671875" customWidth="1" style="63" min="11016" max="11016"/>
    <col width="8.88671875" customWidth="1" style="63" min="11017" max="11264"/>
    <col width="1.77734375" customWidth="1" style="63" min="11265" max="11265"/>
    <col width="3.33203125" customWidth="1" style="63" min="11266" max="11266"/>
    <col width="12" customWidth="1" style="63" min="11267" max="11267"/>
    <col width="49.6640625" customWidth="1" style="63" min="11268" max="11268"/>
    <col width="6.6640625" bestFit="1" customWidth="1" style="63" min="11269" max="11269"/>
    <col width="10.33203125" customWidth="1" style="63" min="11270" max="11271"/>
    <col width="1.88671875" customWidth="1" style="63" min="11272" max="11272"/>
    <col width="8.88671875" customWidth="1" style="63" min="11273" max="11520"/>
    <col width="1.77734375" customWidth="1" style="63" min="11521" max="11521"/>
    <col width="3.33203125" customWidth="1" style="63" min="11522" max="11522"/>
    <col width="12" customWidth="1" style="63" min="11523" max="11523"/>
    <col width="49.6640625" customWidth="1" style="63" min="11524" max="11524"/>
    <col width="6.6640625" bestFit="1" customWidth="1" style="63" min="11525" max="11525"/>
    <col width="10.33203125" customWidth="1" style="63" min="11526" max="11527"/>
    <col width="1.88671875" customWidth="1" style="63" min="11528" max="11528"/>
    <col width="8.88671875" customWidth="1" style="63" min="11529" max="11776"/>
    <col width="1.77734375" customWidth="1" style="63" min="11777" max="11777"/>
    <col width="3.33203125" customWidth="1" style="63" min="11778" max="11778"/>
    <col width="12" customWidth="1" style="63" min="11779" max="11779"/>
    <col width="49.6640625" customWidth="1" style="63" min="11780" max="11780"/>
    <col width="6.6640625" bestFit="1" customWidth="1" style="63" min="11781" max="11781"/>
    <col width="10.33203125" customWidth="1" style="63" min="11782" max="11783"/>
    <col width="1.88671875" customWidth="1" style="63" min="11784" max="11784"/>
    <col width="8.88671875" customWidth="1" style="63" min="11785" max="12032"/>
    <col width="1.77734375" customWidth="1" style="63" min="12033" max="12033"/>
    <col width="3.33203125" customWidth="1" style="63" min="12034" max="12034"/>
    <col width="12" customWidth="1" style="63" min="12035" max="12035"/>
    <col width="49.6640625" customWidth="1" style="63" min="12036" max="12036"/>
    <col width="6.6640625" bestFit="1" customWidth="1" style="63" min="12037" max="12037"/>
    <col width="10.33203125" customWidth="1" style="63" min="12038" max="12039"/>
    <col width="1.88671875" customWidth="1" style="63" min="12040" max="12040"/>
    <col width="8.88671875" customWidth="1" style="63" min="12041" max="12288"/>
    <col width="1.77734375" customWidth="1" style="63" min="12289" max="12289"/>
    <col width="3.33203125" customWidth="1" style="63" min="12290" max="12290"/>
    <col width="12" customWidth="1" style="63" min="12291" max="12291"/>
    <col width="49.6640625" customWidth="1" style="63" min="12292" max="12292"/>
    <col width="6.6640625" bestFit="1" customWidth="1" style="63" min="12293" max="12293"/>
    <col width="10.33203125" customWidth="1" style="63" min="12294" max="12295"/>
    <col width="1.88671875" customWidth="1" style="63" min="12296" max="12296"/>
    <col width="8.88671875" customWidth="1" style="63" min="12297" max="12544"/>
    <col width="1.77734375" customWidth="1" style="63" min="12545" max="12545"/>
    <col width="3.33203125" customWidth="1" style="63" min="12546" max="12546"/>
    <col width="12" customWidth="1" style="63" min="12547" max="12547"/>
    <col width="49.6640625" customWidth="1" style="63" min="12548" max="12548"/>
    <col width="6.6640625" bestFit="1" customWidth="1" style="63" min="12549" max="12549"/>
    <col width="10.33203125" customWidth="1" style="63" min="12550" max="12551"/>
    <col width="1.88671875" customWidth="1" style="63" min="12552" max="12552"/>
    <col width="8.88671875" customWidth="1" style="63" min="12553" max="12800"/>
    <col width="1.77734375" customWidth="1" style="63" min="12801" max="12801"/>
    <col width="3.33203125" customWidth="1" style="63" min="12802" max="12802"/>
    <col width="12" customWidth="1" style="63" min="12803" max="12803"/>
    <col width="49.6640625" customWidth="1" style="63" min="12804" max="12804"/>
    <col width="6.6640625" bestFit="1" customWidth="1" style="63" min="12805" max="12805"/>
    <col width="10.33203125" customWidth="1" style="63" min="12806" max="12807"/>
    <col width="1.88671875" customWidth="1" style="63" min="12808" max="12808"/>
    <col width="8.88671875" customWidth="1" style="63" min="12809" max="13056"/>
    <col width="1.77734375" customWidth="1" style="63" min="13057" max="13057"/>
    <col width="3.33203125" customWidth="1" style="63" min="13058" max="13058"/>
    <col width="12" customWidth="1" style="63" min="13059" max="13059"/>
    <col width="49.6640625" customWidth="1" style="63" min="13060" max="13060"/>
    <col width="6.6640625" bestFit="1" customWidth="1" style="63" min="13061" max="13061"/>
    <col width="10.33203125" customWidth="1" style="63" min="13062" max="13063"/>
    <col width="1.88671875" customWidth="1" style="63" min="13064" max="13064"/>
    <col width="8.88671875" customWidth="1" style="63" min="13065" max="13312"/>
    <col width="1.77734375" customWidth="1" style="63" min="13313" max="13313"/>
    <col width="3.33203125" customWidth="1" style="63" min="13314" max="13314"/>
    <col width="12" customWidth="1" style="63" min="13315" max="13315"/>
    <col width="49.6640625" customWidth="1" style="63" min="13316" max="13316"/>
    <col width="6.6640625" bestFit="1" customWidth="1" style="63" min="13317" max="13317"/>
    <col width="10.33203125" customWidth="1" style="63" min="13318" max="13319"/>
    <col width="1.88671875" customWidth="1" style="63" min="13320" max="13320"/>
    <col width="8.88671875" customWidth="1" style="63" min="13321" max="13568"/>
    <col width="1.77734375" customWidth="1" style="63" min="13569" max="13569"/>
    <col width="3.33203125" customWidth="1" style="63" min="13570" max="13570"/>
    <col width="12" customWidth="1" style="63" min="13571" max="13571"/>
    <col width="49.6640625" customWidth="1" style="63" min="13572" max="13572"/>
    <col width="6.6640625" bestFit="1" customWidth="1" style="63" min="13573" max="13573"/>
    <col width="10.33203125" customWidth="1" style="63" min="13574" max="13575"/>
    <col width="1.88671875" customWidth="1" style="63" min="13576" max="13576"/>
    <col width="8.88671875" customWidth="1" style="63" min="13577" max="13824"/>
    <col width="1.77734375" customWidth="1" style="63" min="13825" max="13825"/>
    <col width="3.33203125" customWidth="1" style="63" min="13826" max="13826"/>
    <col width="12" customWidth="1" style="63" min="13827" max="13827"/>
    <col width="49.6640625" customWidth="1" style="63" min="13828" max="13828"/>
    <col width="6.6640625" bestFit="1" customWidth="1" style="63" min="13829" max="13829"/>
    <col width="10.33203125" customWidth="1" style="63" min="13830" max="13831"/>
    <col width="1.88671875" customWidth="1" style="63" min="13832" max="13832"/>
    <col width="8.88671875" customWidth="1" style="63" min="13833" max="14080"/>
    <col width="1.77734375" customWidth="1" style="63" min="14081" max="14081"/>
    <col width="3.33203125" customWidth="1" style="63" min="14082" max="14082"/>
    <col width="12" customWidth="1" style="63" min="14083" max="14083"/>
    <col width="49.6640625" customWidth="1" style="63" min="14084" max="14084"/>
    <col width="6.6640625" bestFit="1" customWidth="1" style="63" min="14085" max="14085"/>
    <col width="10.33203125" customWidth="1" style="63" min="14086" max="14087"/>
    <col width="1.88671875" customWidth="1" style="63" min="14088" max="14088"/>
    <col width="8.88671875" customWidth="1" style="63" min="14089" max="14336"/>
    <col width="1.77734375" customWidth="1" style="63" min="14337" max="14337"/>
    <col width="3.33203125" customWidth="1" style="63" min="14338" max="14338"/>
    <col width="12" customWidth="1" style="63" min="14339" max="14339"/>
    <col width="49.6640625" customWidth="1" style="63" min="14340" max="14340"/>
    <col width="6.6640625" bestFit="1" customWidth="1" style="63" min="14341" max="14341"/>
    <col width="10.33203125" customWidth="1" style="63" min="14342" max="14343"/>
    <col width="1.88671875" customWidth="1" style="63" min="14344" max="14344"/>
    <col width="8.88671875" customWidth="1" style="63" min="14345" max="14592"/>
    <col width="1.77734375" customWidth="1" style="63" min="14593" max="14593"/>
    <col width="3.33203125" customWidth="1" style="63" min="14594" max="14594"/>
    <col width="12" customWidth="1" style="63" min="14595" max="14595"/>
    <col width="49.6640625" customWidth="1" style="63" min="14596" max="14596"/>
    <col width="6.6640625" bestFit="1" customWidth="1" style="63" min="14597" max="14597"/>
    <col width="10.33203125" customWidth="1" style="63" min="14598" max="14599"/>
    <col width="1.88671875" customWidth="1" style="63" min="14600" max="14600"/>
    <col width="8.88671875" customWidth="1" style="63" min="14601" max="14848"/>
    <col width="1.77734375" customWidth="1" style="63" min="14849" max="14849"/>
    <col width="3.33203125" customWidth="1" style="63" min="14850" max="14850"/>
    <col width="12" customWidth="1" style="63" min="14851" max="14851"/>
    <col width="49.6640625" customWidth="1" style="63" min="14852" max="14852"/>
    <col width="6.6640625" bestFit="1" customWidth="1" style="63" min="14853" max="14853"/>
    <col width="10.33203125" customWidth="1" style="63" min="14854" max="14855"/>
    <col width="1.88671875" customWidth="1" style="63" min="14856" max="14856"/>
    <col width="8.88671875" customWidth="1" style="63" min="14857" max="15104"/>
    <col width="1.77734375" customWidth="1" style="63" min="15105" max="15105"/>
    <col width="3.33203125" customWidth="1" style="63" min="15106" max="15106"/>
    <col width="12" customWidth="1" style="63" min="15107" max="15107"/>
    <col width="49.6640625" customWidth="1" style="63" min="15108" max="15108"/>
    <col width="6.6640625" bestFit="1" customWidth="1" style="63" min="15109" max="15109"/>
    <col width="10.33203125" customWidth="1" style="63" min="15110" max="15111"/>
    <col width="1.88671875" customWidth="1" style="63" min="15112" max="15112"/>
    <col width="8.88671875" customWidth="1" style="63" min="15113" max="15360"/>
    <col width="1.77734375" customWidth="1" style="63" min="15361" max="15361"/>
    <col width="3.33203125" customWidth="1" style="63" min="15362" max="15362"/>
    <col width="12" customWidth="1" style="63" min="15363" max="15363"/>
    <col width="49.6640625" customWidth="1" style="63" min="15364" max="15364"/>
    <col width="6.6640625" bestFit="1" customWidth="1" style="63" min="15365" max="15365"/>
    <col width="10.33203125" customWidth="1" style="63" min="15366" max="15367"/>
    <col width="1.88671875" customWidth="1" style="63" min="15368" max="15368"/>
    <col width="8.88671875" customWidth="1" style="63" min="15369" max="15616"/>
    <col width="1.77734375" customWidth="1" style="63" min="15617" max="15617"/>
    <col width="3.33203125" customWidth="1" style="63" min="15618" max="15618"/>
    <col width="12" customWidth="1" style="63" min="15619" max="15619"/>
    <col width="49.6640625" customWidth="1" style="63" min="15620" max="15620"/>
    <col width="6.6640625" bestFit="1" customWidth="1" style="63" min="15621" max="15621"/>
    <col width="10.33203125" customWidth="1" style="63" min="15622" max="15623"/>
    <col width="1.88671875" customWidth="1" style="63" min="15624" max="15624"/>
    <col width="8.88671875" customWidth="1" style="63" min="15625" max="15872"/>
    <col width="1.77734375" customWidth="1" style="63" min="15873" max="15873"/>
    <col width="3.33203125" customWidth="1" style="63" min="15874" max="15874"/>
    <col width="12" customWidth="1" style="63" min="15875" max="15875"/>
    <col width="49.6640625" customWidth="1" style="63" min="15876" max="15876"/>
    <col width="6.6640625" bestFit="1" customWidth="1" style="63" min="15877" max="15877"/>
    <col width="10.33203125" customWidth="1" style="63" min="15878" max="15879"/>
    <col width="1.88671875" customWidth="1" style="63" min="15880" max="15880"/>
    <col width="8.88671875" customWidth="1" style="63" min="15881" max="16128"/>
    <col width="1.77734375" customWidth="1" style="63" min="16129" max="16129"/>
    <col width="3.33203125" customWidth="1" style="63" min="16130" max="16130"/>
    <col width="12" customWidth="1" style="63" min="16131" max="16131"/>
    <col width="49.6640625" customWidth="1" style="63" min="16132" max="16132"/>
    <col width="6.6640625" bestFit="1" customWidth="1" style="63" min="16133" max="16133"/>
    <col width="10.33203125" customWidth="1" style="63" min="16134" max="16135"/>
    <col width="1.88671875" customWidth="1" style="63" min="16136" max="16136"/>
    <col width="8.88671875" customWidth="1" style="63" min="16137" max="16384"/>
  </cols>
  <sheetData>
    <row r="1">
      <c r="A1" s="1" t="n"/>
      <c r="B1" s="2" t="n"/>
      <c r="C1" s="3" t="n"/>
      <c r="D1" s="4" t="n"/>
      <c r="E1" s="76" t="n"/>
      <c r="F1" s="77" t="n"/>
      <c r="G1" s="77" t="n"/>
      <c r="H1" s="7" t="n"/>
    </row>
    <row r="2" ht="13.5" customFormat="1" customHeight="1" s="62">
      <c r="A2" s="9" t="n"/>
      <c r="B2" s="10" t="n"/>
      <c r="D2" s="12" t="n"/>
      <c r="E2" s="78" t="n"/>
      <c r="F2" s="79" t="n"/>
      <c r="G2" s="79" t="n"/>
      <c r="H2" s="15" t="n"/>
    </row>
    <row r="3" ht="13.5" customFormat="1" customHeight="1" s="62">
      <c r="A3" s="9" t="n"/>
      <c r="B3" s="10" t="n"/>
      <c r="D3" s="12" t="n"/>
      <c r="E3" s="78" t="n"/>
      <c r="F3" s="79" t="n"/>
      <c r="G3" s="79" t="n"/>
      <c r="H3" s="15" t="n"/>
    </row>
    <row r="4" ht="13.5" customFormat="1" customHeight="1" s="62">
      <c r="A4" s="9" t="n"/>
      <c r="B4" s="10" t="n"/>
      <c r="D4" s="12" t="n"/>
      <c r="E4" s="78" t="n"/>
      <c r="F4" s="79" t="n"/>
      <c r="G4" s="79" t="n"/>
      <c r="H4" s="15" t="n"/>
    </row>
    <row r="5" ht="13.5" customFormat="1" customHeight="1" s="62">
      <c r="A5" s="9" t="n"/>
      <c r="B5" s="10" t="n"/>
      <c r="D5" s="12" t="n"/>
      <c r="E5" s="78" t="n"/>
      <c r="F5" s="79" t="n"/>
      <c r="G5" s="79" t="n"/>
      <c r="H5" s="15" t="n"/>
    </row>
    <row r="6" ht="13.5" customFormat="1" customHeight="1" s="62">
      <c r="A6" s="9" t="n"/>
      <c r="B6" s="10" t="n"/>
      <c r="D6" s="12" t="n"/>
      <c r="E6" s="78" t="n"/>
      <c r="F6" s="79" t="n"/>
      <c r="G6" s="79" t="n"/>
      <c r="H6" s="15" t="n"/>
    </row>
    <row r="7" ht="13.5" customFormat="1" customHeight="1" s="62">
      <c r="A7" s="9" t="n"/>
      <c r="B7" s="10" t="n"/>
      <c r="D7" s="12" t="n"/>
      <c r="E7" s="78" t="n"/>
      <c r="F7" s="79" t="n"/>
      <c r="G7" s="79" t="n"/>
      <c r="H7" s="15" t="n"/>
    </row>
    <row r="8" ht="14.45" customFormat="1" customHeight="1" s="62">
      <c r="A8" s="9" t="n"/>
      <c r="B8" s="10" t="n"/>
      <c r="C8" s="16" t="inlineStr">
        <is>
          <t xml:space="preserve">발주번호 </t>
        </is>
      </c>
      <c r="D8" s="12" t="inlineStr">
        <is>
          <t>: KAONI-CS260330-1</t>
        </is>
      </c>
      <c r="E8" s="78" t="n"/>
      <c r="F8" s="79" t="n"/>
      <c r="G8" s="79" t="n"/>
      <c r="H8" s="15" t="n"/>
    </row>
    <row r="9" ht="15.6" customFormat="1" customHeight="1" s="62">
      <c r="A9" s="9" t="n"/>
      <c r="B9" s="10" t="n"/>
      <c r="C9" s="16" t="inlineStr">
        <is>
          <t xml:space="preserve">발주일자 </t>
        </is>
      </c>
      <c r="D9" s="12" t="inlineStr">
        <is>
          <t>: 2026년 3월 30일</t>
        </is>
      </c>
      <c r="E9" s="78" t="n"/>
      <c r="F9" s="79" t="n"/>
      <c r="G9" s="79" t="n"/>
      <c r="H9" s="15" t="n"/>
    </row>
    <row r="10" ht="13.5" customFormat="1" customHeight="1" s="62">
      <c r="A10" s="9" t="n"/>
      <c r="B10" s="10" t="n"/>
      <c r="C10" s="16" t="inlineStr">
        <is>
          <t xml:space="preserve">수신 </t>
        </is>
      </c>
      <c r="D10" s="12" t="inlineStr">
        <is>
          <t>: 아라ICT</t>
        </is>
      </c>
      <c r="E10" s="78" t="n"/>
      <c r="F10" s="79" t="n"/>
      <c r="G10" s="79" t="n"/>
      <c r="H10" s="15" t="n"/>
    </row>
    <row r="11" ht="13.5" customFormat="1" customHeight="1" s="62">
      <c r="A11" s="9" t="n"/>
      <c r="B11" s="10" t="n"/>
      <c r="C11" s="16" t="inlineStr">
        <is>
          <t xml:space="preserve">참조 </t>
        </is>
      </c>
      <c r="D11" s="12" t="inlineStr">
        <is>
          <t>: 박승엽 대표님</t>
        </is>
      </c>
      <c r="E11" s="78" t="n"/>
      <c r="F11" s="62" t="inlineStr">
        <is>
          <t>경기도 과천시 과천대로12길 117</t>
        </is>
      </c>
      <c r="H11" s="15" t="n"/>
    </row>
    <row r="12" ht="13.5" customFormat="1" customHeight="1" s="62">
      <c r="A12" s="9" t="n"/>
      <c r="B12" s="10" t="n"/>
      <c r="C12" s="17" t="n"/>
      <c r="D12" s="12" t="n"/>
      <c r="E12" s="78" t="n"/>
      <c r="F12" s="62" t="inlineStr">
        <is>
          <t>과천펜타원 D동 12층 외</t>
        </is>
      </c>
      <c r="H12" s="15" t="n"/>
    </row>
    <row r="13" ht="13.5" customFormat="1" customHeight="1" s="62">
      <c r="A13" s="9" t="n"/>
      <c r="B13" s="10" t="n"/>
      <c r="C13" s="17" t="n"/>
      <c r="D13" s="12" t="n"/>
      <c r="E13" s="78" t="n"/>
      <c r="F13" s="62" t="inlineStr">
        <is>
          <t>Tel : (02)2140-5884</t>
        </is>
      </c>
      <c r="H13" s="15" t="n"/>
    </row>
    <row r="14" ht="13.5" customFormat="1" customHeight="1" s="62">
      <c r="A14" s="9" t="n"/>
      <c r="B14" s="10" t="n"/>
      <c r="C14" s="18" t="inlineStr">
        <is>
          <t xml:space="preserve">"정보통신기획평가원 모바일 단말관리 유지보수 " </t>
        </is>
      </c>
      <c r="D14" s="12" t="n"/>
      <c r="E14" s="78" t="n"/>
      <c r="F14" s="62" t="inlineStr">
        <is>
          <t>Fax : (02)2140-5888</t>
        </is>
      </c>
      <c r="H14" s="15" t="n"/>
    </row>
    <row r="15" ht="13.5" customFormat="1" customHeight="1" s="62">
      <c r="A15" s="9" t="n"/>
      <c r="B15" s="10" t="n"/>
      <c r="C15" s="18" t="inlineStr">
        <is>
          <t>건으로 아래와 같이 발주합니다</t>
        </is>
      </c>
      <c r="D15" s="12" t="n"/>
      <c r="E15" s="78" t="n"/>
      <c r="F15" s="62" t="inlineStr">
        <is>
          <t>대표이사  조  창  제</t>
        </is>
      </c>
      <c r="H15" s="15" t="n"/>
    </row>
    <row r="16" ht="13.5" customFormat="1" customHeight="1" s="62">
      <c r="A16" s="9" t="n"/>
      <c r="B16" s="20" t="n"/>
      <c r="C16" s="20" t="n"/>
      <c r="D16" s="21" t="n"/>
      <c r="E16" s="78" t="n"/>
      <c r="F16" s="79" t="n"/>
      <c r="G16" s="79" t="n"/>
      <c r="H16" s="15" t="n"/>
    </row>
    <row r="17" ht="13.5" customFormat="1" customHeight="1" s="10">
      <c r="A17" s="22" t="n"/>
      <c r="B17" s="23" t="inlineStr">
        <is>
          <t>NO.</t>
        </is>
      </c>
      <c r="C17" s="24" t="n"/>
      <c r="D17" s="25" t="inlineStr">
        <is>
          <t xml:space="preserve"> 품    명</t>
        </is>
      </c>
      <c r="E17" s="80" t="inlineStr">
        <is>
          <t>수량</t>
        </is>
      </c>
      <c r="F17" s="80" t="inlineStr">
        <is>
          <t>월 단가</t>
        </is>
      </c>
      <c r="G17" s="81" t="inlineStr">
        <is>
          <t>합계</t>
        </is>
      </c>
      <c r="H17" s="28" t="n"/>
    </row>
    <row r="18" ht="14.45" customFormat="1" customHeight="1" s="62">
      <c r="A18" s="9" t="n"/>
      <c r="B18" s="29" t="n">
        <v>1</v>
      </c>
      <c r="C18" s="30" t="n"/>
      <c r="D18" s="82" t="inlineStr">
        <is>
          <t>문 서 번 호2026-0418 회 사 명㈜지란지교소프트
수 신가온아이 대 표박 승 애 (인)
참 조CS사업부 / 박지혜 부장님 사 업 자 번 호220-85-06740</t>
        </is>
      </c>
      <c r="E18" s="83" t="n">
        <v>1</v>
      </c>
      <c r="F18" s="84" t="n"/>
      <c r="G18" s="85" t="n"/>
      <c r="H18" s="34" t="n"/>
      <c r="I18" s="35" t="n"/>
      <c r="J18" s="35" t="n"/>
      <c r="L18" s="86" t="n"/>
    </row>
    <row r="19" ht="15" customFormat="1" customHeight="1" s="62">
      <c r="B19" s="87" t="n"/>
      <c r="C19" s="88" t="n"/>
      <c r="D19" s="89" t="inlineStr">
        <is>
          <t>- 문 서 번 호2026-0418 회 사 명㈜지란지교소프트</t>
        </is>
      </c>
      <c r="E19" s="90" t="n"/>
      <c r="F19" s="91" t="n"/>
      <c r="G19" s="91" t="n"/>
    </row>
    <row r="20" ht="15" customFormat="1" customHeight="1" s="62">
      <c r="B20" s="87" t="n"/>
      <c r="C20" s="88" t="n"/>
      <c r="D20" s="89" t="inlineStr">
        <is>
          <t>- 수 신가온아이 대 표박 승 애 (인)</t>
        </is>
      </c>
      <c r="E20" s="90" t="n"/>
      <c r="F20" s="91" t="n"/>
      <c r="G20" s="91" t="n"/>
    </row>
    <row r="21" ht="15" customFormat="1" customHeight="1" s="62">
      <c r="B21" s="87" t="n"/>
      <c r="C21" s="88" t="n"/>
      <c r="D21" s="89" t="inlineStr">
        <is>
          <t>- 참 조CS사업부 / 박지혜 부장님 사 업 자 번 호220-85-06740</t>
        </is>
      </c>
      <c r="E21" s="90" t="n"/>
      <c r="F21" s="91" t="n"/>
      <c r="G21" s="91" t="n"/>
    </row>
    <row r="22" ht="15" customFormat="1" customHeight="1" s="62">
      <c r="A22" s="9" t="n"/>
      <c r="B22" s="29" t="n">
        <v>2</v>
      </c>
      <c r="C22" s="37" t="n"/>
      <c r="D22" s="82" t="inlineStr">
        <is>
          <t>연 락 처</t>
        </is>
      </c>
      <c r="E22" s="31" t="n">
        <v>1</v>
      </c>
      <c r="F22" s="84" t="n"/>
      <c r="G22" s="85" t="n"/>
      <c r="H22" s="92" t="n"/>
      <c r="I22" s="35" t="n"/>
      <c r="J22" s="35" t="n"/>
    </row>
    <row r="23" ht="15" customFormat="1" customHeight="1" s="62">
      <c r="B23" s="87" t="n"/>
      <c r="C23" s="88" t="n"/>
      <c r="D23" s="89" t="inlineStr">
        <is>
          <t>- 02-2140-5884 / iii511@k</t>
        </is>
      </c>
      <c r="E23" s="90" t="n"/>
      <c r="F23" s="91" t="n"/>
      <c r="G23" s="91" t="n"/>
    </row>
    <row r="24" ht="15" customFormat="1" customHeight="1" s="62">
      <c r="A24" s="9" t="n"/>
      <c r="B24" s="39" t="n">
        <v>3</v>
      </c>
      <c r="C24" s="37" t="n"/>
      <c r="D24" s="93" t="inlineStr">
        <is>
          <t>발 행 일
발 신 자</t>
        </is>
      </c>
      <c r="E24" s="31" t="n">
        <v>1</v>
      </c>
      <c r="F24" s="94" t="n"/>
      <c r="G24" s="85" t="n"/>
      <c r="H24" s="95" t="n"/>
      <c r="J24" s="35" t="n"/>
      <c r="K24" s="35" t="n"/>
      <c r="L24" s="86" t="n"/>
    </row>
    <row r="25" ht="15" customFormat="1" customHeight="1" s="62">
      <c r="B25" s="87" t="n"/>
      <c r="C25" s="88" t="n"/>
      <c r="D25" s="89" t="inlineStr">
        <is>
          <t>- 발 행 일</t>
        </is>
      </c>
      <c r="E25" s="90" t="n"/>
      <c r="F25" s="91" t="n"/>
      <c r="G25" s="91" t="n"/>
    </row>
    <row r="26" ht="15" customFormat="1" customHeight="1" s="62">
      <c r="B26" s="87" t="n"/>
      <c r="C26" s="88" t="n"/>
      <c r="D26" s="89" t="inlineStr">
        <is>
          <t>- 발 신 자</t>
        </is>
      </c>
      <c r="E26" s="90" t="n"/>
      <c r="F26" s="91" t="n"/>
      <c r="G26" s="91" t="n"/>
    </row>
    <row r="27" ht="15" customFormat="1" customHeight="1" s="62">
      <c r="B27" s="87" t="n"/>
      <c r="C27" s="88" t="n"/>
      <c r="D27" s="89" t="inlineStr">
        <is>
          <t>- 2026년 4월 15일 수요일</t>
        </is>
      </c>
      <c r="E27" s="90" t="n"/>
      <c r="F27" s="91" t="n"/>
      <c r="G27" s="91" t="n"/>
    </row>
    <row r="28" ht="15" customFormat="1" customHeight="1" s="62">
      <c r="B28" s="87" t="n"/>
      <c r="C28" s="88" t="n"/>
      <c r="D28" s="89" t="inlineStr">
        <is>
          <t>- 나모에디터 사업부 황인구 차장</t>
        </is>
      </c>
      <c r="E28" s="90" t="n"/>
      <c r="F28" s="91" t="n"/>
      <c r="G28" s="91" t="n"/>
    </row>
    <row r="29" ht="15" customFormat="1" customHeight="1" s="62">
      <c r="B29" s="87" t="n"/>
      <c r="C29" s="88" t="n"/>
      <c r="D29" s="89" t="inlineStr">
        <is>
          <t>- 종 목소프트웨어개발,용역개발및판매</t>
        </is>
      </c>
      <c r="E29" s="90" t="n"/>
      <c r="F29" s="91" t="n"/>
      <c r="G29" s="91" t="n"/>
    </row>
    <row r="30" ht="15" customFormat="1" customHeight="1" s="62">
      <c r="B30" s="87" t="n"/>
      <c r="C30" s="88" t="n"/>
      <c r="D30" s="89" t="inlineStr">
        <is>
          <t>- 주 소경기도 성남시 수정구 금토로80번길 37, W동 3층</t>
        </is>
      </c>
      <c r="E30" s="90" t="n"/>
      <c r="F30" s="91" t="n"/>
      <c r="G30" s="91" t="n"/>
    </row>
    <row r="31" ht="13.5" customFormat="1" customHeight="1" s="62">
      <c r="A31" s="9" t="n"/>
      <c r="B31" s="39" t="n">
        <v>4</v>
      </c>
      <c r="C31" s="42" t="n"/>
      <c r="D31" s="96" t="inlineStr">
        <is>
          <t>010-8739-3371 / ighwang@jiran.com</t>
        </is>
      </c>
      <c r="E31" s="31" t="n">
        <v>1</v>
      </c>
      <c r="F31" s="94" t="n"/>
      <c r="G31" s="84" t="n"/>
      <c r="H31" s="95" t="n"/>
      <c r="K31" s="35" t="n"/>
    </row>
    <row r="32" ht="22.5" customFormat="1" customHeight="1" s="62">
      <c r="B32" s="87" t="n"/>
      <c r="C32" s="88" t="n"/>
      <c r="D32" s="89" t="inlineStr">
        <is>
          <t>- 010-8739-3371 / ighwang@jiran.com</t>
        </is>
      </c>
      <c r="E32" s="90" t="n"/>
      <c r="F32" s="91" t="n"/>
      <c r="G32" s="91" t="n"/>
    </row>
    <row r="33" ht="22.5" customFormat="1" customHeight="1" s="62">
      <c r="A33" s="9" t="n"/>
      <c r="B33" s="39" t="n">
        <v>5</v>
      </c>
      <c r="C33" s="42" t="n"/>
      <c r="D33" s="96" t="inlineStr">
        <is>
          <t>유 효 기 간2026년 5월 31일 일요일</t>
        </is>
      </c>
      <c r="E33" s="44" t="n">
        <v>1</v>
      </c>
      <c r="F33" s="84" t="n"/>
      <c r="G33" s="85" t="n"/>
      <c r="H33" s="95" t="n"/>
    </row>
    <row r="34" ht="12" customFormat="1" customHeight="1" s="62">
      <c r="A34" s="9" t="n"/>
      <c r="B34" s="39" t="n">
        <v>6</v>
      </c>
      <c r="C34" s="42" t="n"/>
      <c r="D34" s="96" t="inlineStr">
        <is>
          <t>견 적 명</t>
        </is>
      </c>
      <c r="E34" s="44" t="n">
        <v>1</v>
      </c>
      <c r="F34" s="84" t="n"/>
      <c r="G34" s="84" t="n"/>
      <c r="H34" s="95" t="n"/>
    </row>
    <row r="35" ht="12" customFormat="1" customHeight="1" s="62">
      <c r="A35" s="9" t="n"/>
      <c r="B35" s="39" t="n">
        <v>7</v>
      </c>
      <c r="C35" s="42" t="n"/>
      <c r="D35" s="96" t="inlineStr">
        <is>
          <t>고객사</t>
        </is>
      </c>
      <c r="E35" s="44" t="n">
        <v>1</v>
      </c>
      <c r="F35" s="94" t="n"/>
      <c r="G35" s="85" t="n"/>
      <c r="H35" s="95" t="n"/>
    </row>
    <row r="36" ht="12" customFormat="1" customHeight="1" s="62">
      <c r="A36" s="9" t="n"/>
      <c r="B36" s="39" t="n">
        <v>8</v>
      </c>
      <c r="C36" s="42" t="n"/>
      <c r="D36" s="96" t="inlineStr">
        <is>
          <t>이건창호</t>
        </is>
      </c>
      <c r="E36" s="44" t="n">
        <v>1</v>
      </c>
      <c r="F36" s="94" t="n">
        <v>5920000</v>
      </c>
      <c r="G36" s="84" t="n">
        <v>5920000</v>
      </c>
      <c r="H36" s="95" t="n"/>
    </row>
    <row r="37" ht="15" customFormat="1" customHeight="1" s="62">
      <c r="B37" s="87" t="n"/>
      <c r="C37" s="88" t="n"/>
      <c r="D37" s="89" t="inlineStr">
        <is>
          <t>- CrossEditor3 /</t>
        </is>
      </c>
      <c r="E37" s="90" t="n"/>
      <c r="F37" s="91" t="n"/>
      <c r="G37" s="91" t="n"/>
    </row>
    <row r="38" ht="15" customFormat="1" customHeight="1" s="62">
      <c r="B38" s="87" t="n"/>
      <c r="C38" s="88" t="n"/>
      <c r="D38" s="89" t="inlineStr">
        <is>
          <t>- 그룹웨어</t>
        </is>
      </c>
      <c r="E38" s="90" t="n"/>
      <c r="F38" s="91" t="n"/>
      <c r="G38" s="91" t="n"/>
    </row>
    <row r="39" ht="13.5" customFormat="1" customHeight="1" s="62">
      <c r="B39" s="87" t="n"/>
      <c r="C39" s="88" t="n"/>
      <c r="D39" s="89" t="inlineStr">
        <is>
          <t>- (한글, 영어)</t>
        </is>
      </c>
      <c r="E39" s="90" t="n"/>
      <c r="F39" s="91" t="n"/>
      <c r="G39" s="91" t="n"/>
    </row>
    <row r="40" ht="13.5" customFormat="1" customHeight="1" s="62">
      <c r="B40" s="87" t="n"/>
      <c r="C40" s="88" t="n"/>
      <c r="D40" s="89" t="inlineStr">
        <is>
          <t>- 방문점검 미 지원</t>
        </is>
      </c>
      <c r="E40" s="90" t="n"/>
      <c r="F40" s="91" t="n"/>
      <c r="G40" s="91" t="n"/>
    </row>
    <row r="41" ht="13.5" customFormat="1" customHeight="1" s="62">
      <c r="B41" s="87" t="n"/>
      <c r="C41" s="88" t="n"/>
      <c r="D41" s="89" t="inlineStr">
        <is>
          <t>- 2026.06.01 ~</t>
        </is>
      </c>
      <c r="E41" s="90" t="n"/>
      <c r="F41" s="91" t="n"/>
      <c r="G41" s="91" t="n"/>
    </row>
    <row r="42" ht="12" customFormat="1" customHeight="1" s="62">
      <c r="B42" s="87" t="n"/>
      <c r="C42" s="88" t="n"/>
      <c r="D42" s="89" t="inlineStr">
        <is>
          <t>- 2027.05.31</t>
        </is>
      </c>
      <c r="E42" s="90" t="n"/>
      <c r="F42" s="91" t="n"/>
      <c r="G42" s="91" t="n"/>
    </row>
    <row r="43" ht="14.25" customFormat="1" customHeight="1" s="62" thickBot="1">
      <c r="B43" s="87" t="n"/>
      <c r="C43" s="88" t="n"/>
      <c r="D43" s="89" t="inlineStr">
        <is>
          <t>- (1년)</t>
        </is>
      </c>
      <c r="E43" s="90" t="n"/>
      <c r="F43" s="91" t="n"/>
      <c r="G43" s="91" t="n"/>
    </row>
    <row r="44" ht="13.5" customFormat="1" customHeight="1" s="62">
      <c r="B44" s="87" t="n"/>
      <c r="C44" s="88" t="n"/>
      <c r="D44" s="89" t="inlineStr">
        <is>
          <t>- 12%</t>
        </is>
      </c>
      <c r="E44" s="90" t="n"/>
      <c r="F44" s="91" t="n"/>
      <c r="G44" s="91" t="n"/>
    </row>
    <row r="45">
      <c r="B45" s="87" t="n"/>
      <c r="C45" s="88" t="n"/>
      <c r="D45" s="89" t="inlineStr">
        <is>
          <t>- (1년)</t>
        </is>
      </c>
      <c r="E45" s="90" t="n"/>
      <c r="F45" s="91" t="n"/>
      <c r="G45" s="91" t="n"/>
    </row>
    <row r="46">
      <c r="B46" s="87" t="n"/>
      <c r="C46" s="88" t="n"/>
      <c r="D46" s="89" t="inlineStr">
        <is>
          <t>- CrossEditor3 / Intranet 740User</t>
        </is>
      </c>
      <c r="E46" s="90" t="n"/>
      <c r="F46" s="91" t="n"/>
      <c r="G46" s="91" t="n"/>
    </row>
    <row r="47">
      <c r="B47" s="87" t="n"/>
      <c r="C47" s="88" t="n"/>
      <c r="D47" s="89" t="inlineStr">
        <is>
          <t>- (한글,영어) / S/N 9503-0101-160062</t>
        </is>
      </c>
      <c r="E47" s="90" t="n"/>
      <c r="F47" s="91" t="n"/>
      <c r="G47" s="91" t="n"/>
    </row>
    <row r="48">
      <c r="B48" s="87" t="n"/>
      <c r="C48" s="88" t="n"/>
      <c r="D48" s="89" t="inlineStr">
        <is>
          <t>- 기존 : 2025.06.01 ~ 2026.05.31</t>
        </is>
      </c>
      <c r="E48" s="90" t="n"/>
      <c r="F48" s="91" t="n"/>
      <c r="G48" s="91" t="n"/>
    </row>
    <row r="49">
      <c r="B49" s="87" t="n"/>
      <c r="C49" s="88" t="n"/>
      <c r="D49" s="89" t="inlineStr">
        <is>
          <t>- 신규 : 2026.06.01 ~ 2027.05.31(1년)</t>
        </is>
      </c>
      <c r="E49" s="90" t="n"/>
      <c r="F49" s="91" t="n"/>
      <c r="G49" s="91" t="n"/>
    </row>
    <row r="50">
      <c r="A50" s="9" t="n"/>
      <c r="B50" s="39" t="n">
        <v>9</v>
      </c>
      <c r="C50" s="42" t="n"/>
      <c r="D50" s="96" t="inlineStr">
        <is>
          <t>추가 할인</t>
        </is>
      </c>
      <c r="E50" s="44" t="n">
        <v>1</v>
      </c>
      <c r="F50" s="94" t="n"/>
      <c r="G50" s="85" t="n"/>
      <c r="H50" s="95" t="n"/>
    </row>
    <row r="51">
      <c r="B51" s="87" t="n"/>
      <c r="C51" s="88" t="n"/>
      <c r="D51" s="89" t="inlineStr">
        <is>
          <t>- -400</t>
        </is>
      </c>
      <c r="E51" s="90" t="n"/>
      <c r="F51" s="91" t="n"/>
      <c r="G51" s="91" t="n"/>
    </row>
    <row r="52">
      <c r="B52" s="87" t="n"/>
      <c r="C52" s="88" t="n"/>
      <c r="D52" s="89" t="inlineStr">
        <is>
          <t>- - 100원 이하 절사</t>
        </is>
      </c>
      <c r="E52" s="90" t="n"/>
      <c r="F52" s="91" t="n"/>
      <c r="G52" s="91" t="n"/>
    </row>
    <row r="53">
      <c r="A53" s="9" t="n"/>
      <c r="B53" s="39" t="n">
        <v>10</v>
      </c>
      <c r="C53" s="42" t="n"/>
      <c r="D53" s="96" t="inlineStr">
        <is>
          <t>견적 합계(VAT별도)</t>
        </is>
      </c>
      <c r="E53" s="44" t="n">
        <v>1</v>
      </c>
      <c r="F53" s="97" t="n">
        <v>710000</v>
      </c>
      <c r="G53" s="85" t="n">
        <v>710000</v>
      </c>
      <c r="H53" s="95" t="n"/>
    </row>
    <row r="54">
      <c r="A54" s="9" t="n"/>
      <c r="B54" s="39" t="n">
        <v>11</v>
      </c>
      <c r="C54" s="42" t="n"/>
      <c r="D54" s="93" t="inlineStr">
        <is>
          <t>부가가치세(VAT / 견적 합계의 10%)</t>
        </is>
      </c>
      <c r="E54" s="44" t="n">
        <v>1</v>
      </c>
      <c r="F54" s="97" t="n"/>
      <c r="G54" s="85" t="n"/>
      <c r="H54" s="95" t="n"/>
    </row>
    <row r="55">
      <c r="A55" s="9" t="n"/>
      <c r="B55" s="39" t="n">
        <v>12</v>
      </c>
      <c r="C55" s="42" t="n"/>
      <c r="D55" s="96" t="inlineStr">
        <is>
          <t>견적 총액(VAT포함)</t>
        </is>
      </c>
      <c r="E55" s="44" t="n">
        <v>1</v>
      </c>
      <c r="F55" s="97" t="n">
        <v>781000</v>
      </c>
      <c r="G55" s="85" t="n">
        <v>781000</v>
      </c>
      <c r="H55" s="95" t="n"/>
    </row>
    <row r="56">
      <c r="A56" s="9" t="n"/>
      <c r="B56" s="39" t="n">
        <v>13</v>
      </c>
      <c r="C56" s="42" t="n"/>
      <c r="D56" s="96" t="inlineStr">
        <is>
          <t>* Remark</t>
        </is>
      </c>
      <c r="E56" s="44" t="n">
        <v>1</v>
      </c>
      <c r="F56" s="97" t="n"/>
      <c r="G56" s="85" t="n"/>
      <c r="H56" s="95" t="n"/>
    </row>
    <row r="57">
      <c r="B57" s="87" t="n"/>
      <c r="C57" s="88" t="n"/>
      <c r="D57" s="89" t="inlineStr">
        <is>
          <t>- 1) 유지보수(기술지원) 조건</t>
        </is>
      </c>
      <c r="E57" s="90" t="n"/>
      <c r="F57" s="91" t="n"/>
      <c r="G57" s="91" t="n"/>
    </row>
    <row r="58">
      <c r="B58" s="87" t="n"/>
      <c r="C58" s="88" t="n"/>
      <c r="D58" s="89" t="inlineStr">
        <is>
          <t>- - SW 특성 상 방문점검을 지원하지 않습니다 (점검 필요 시 비용 별도)</t>
        </is>
      </c>
      <c r="E58" s="90" t="n"/>
      <c r="F58" s="91" t="n"/>
      <c r="G58" s="91" t="n"/>
    </row>
    <row r="59">
      <c r="B59" s="87" t="n"/>
      <c r="C59" s="88" t="n"/>
      <c r="D59" s="89" t="inlineStr">
        <is>
          <t>- - 최신 Bug Fix, 보안취약점 개선 마이너 버전 제공, 장애 시 기술지원</t>
        </is>
      </c>
      <c r="E59" s="90" t="n"/>
      <c r="F59" s="91" t="n"/>
      <c r="G59" s="91" t="n"/>
    </row>
    <row r="60">
      <c r="B60" s="87" t="n"/>
      <c r="C60" s="88" t="n"/>
      <c r="D60" s="89" t="inlineStr">
        <is>
          <t>- - 전담부서 온라인 기술 상담,지원 서비스 (전화,원격,이메일)</t>
        </is>
      </c>
      <c r="E60" s="90" t="n"/>
      <c r="F60" s="91" t="n"/>
      <c r="G60" s="91" t="n"/>
    </row>
    <row r="61">
      <c r="B61" s="87" t="n"/>
      <c r="C61" s="88" t="n"/>
      <c r="D61" s="89" t="inlineStr">
        <is>
          <t>- - SW Major Version Upgrade(3→4V) 별도 계약조건</t>
        </is>
      </c>
      <c r="E61" s="90" t="n"/>
      <c r="F61" s="91" t="n"/>
      <c r="G61" s="91" t="n"/>
    </row>
    <row r="62">
      <c r="A62" s="9" t="n"/>
      <c r="B62" s="39" t="n"/>
      <c r="C62" s="42" t="n"/>
      <c r="D62" s="42" t="n"/>
      <c r="E62" s="98" t="n"/>
      <c r="F62" s="47" t="n"/>
      <c r="G62" s="99" t="n"/>
      <c r="H62" s="95" t="n"/>
    </row>
    <row r="63">
      <c r="A63" s="9" t="n"/>
      <c r="B63" s="73" t="n"/>
      <c r="C63" s="100" t="n"/>
      <c r="D63" s="101" t="n"/>
      <c r="E63" s="49" t="n"/>
      <c r="F63" s="102" t="n"/>
      <c r="G63" s="102" t="n"/>
      <c r="H63" s="15" t="n"/>
    </row>
    <row r="64">
      <c r="A64" s="9" t="n"/>
      <c r="B64" s="73" t="n"/>
      <c r="C64" s="100" t="n"/>
      <c r="D64" s="101" t="n"/>
      <c r="E64" s="49" t="n"/>
      <c r="F64" s="102" t="n"/>
      <c r="G64" s="102" t="n"/>
      <c r="H64" s="15" t="n"/>
    </row>
    <row r="65">
      <c r="A65" s="9" t="n"/>
      <c r="B65" s="51" t="n"/>
      <c r="C65" s="51" t="n"/>
      <c r="D65" s="51" t="n"/>
      <c r="E65" s="52" t="n"/>
      <c r="F65" s="52" t="n"/>
      <c r="G65" s="52" t="n"/>
      <c r="H65" s="15" t="n"/>
    </row>
    <row r="66">
      <c r="A66" s="9" t="n"/>
      <c r="B66" s="51" t="n"/>
      <c r="C66" s="51" t="n"/>
      <c r="D66" s="51" t="n"/>
      <c r="E66" s="52" t="n"/>
      <c r="F66" s="52" t="n"/>
      <c r="G66" s="52" t="n"/>
      <c r="H66" s="15" t="n"/>
    </row>
    <row r="67">
      <c r="A67" s="9" t="n"/>
      <c r="B67" s="51" t="n"/>
      <c r="C67" s="16" t="n"/>
      <c r="D67" s="53" t="n"/>
      <c r="E67" s="52" t="n"/>
      <c r="F67" s="52" t="n"/>
      <c r="G67" s="52" t="n"/>
      <c r="H67" s="15" t="n"/>
    </row>
    <row r="68">
      <c r="A68" s="9" t="n"/>
      <c r="C68" s="16" t="n"/>
      <c r="D68" s="53" t="n"/>
      <c r="E68" s="52" t="n"/>
      <c r="F68" s="52" t="n"/>
      <c r="G68" s="52" t="n"/>
      <c r="H68" s="15" t="n"/>
    </row>
    <row r="69">
      <c r="A69" s="9" t="n"/>
      <c r="C69" s="16" t="n"/>
      <c r="D69" s="53" t="n"/>
      <c r="E69" s="52" t="n"/>
      <c r="F69" s="52" t="n"/>
      <c r="G69" s="52" t="n"/>
      <c r="H69" s="15" t="n"/>
    </row>
    <row r="70">
      <c r="A70" s="9" t="n"/>
      <c r="C70" s="16" t="n"/>
      <c r="D70" s="54" t="n"/>
      <c r="E70" s="52" t="n"/>
      <c r="F70" s="52" t="n"/>
      <c r="G70" s="52" t="n"/>
      <c r="H70" s="15" t="n"/>
    </row>
    <row r="71">
      <c r="A71" s="9" t="n"/>
      <c r="C71" s="16" t="n"/>
      <c r="D71" s="54" t="n"/>
      <c r="E71" s="52" t="n"/>
      <c r="F71" s="52" t="n"/>
      <c r="G71" s="52" t="n"/>
      <c r="H71" s="15" t="n"/>
    </row>
    <row r="72">
      <c r="A72" s="9" t="n"/>
      <c r="C72" s="16" t="n"/>
      <c r="D72" s="54" t="n"/>
      <c r="E72" s="52" t="n"/>
      <c r="F72" s="52" t="n"/>
      <c r="G72" s="52" t="n"/>
      <c r="H72" s="15" t="n"/>
    </row>
    <row r="73">
      <c r="A73" s="9" t="n"/>
      <c r="B73" s="54" t="n"/>
      <c r="C73" s="52" t="n"/>
      <c r="D73" s="52" t="n"/>
      <c r="E73" s="52" t="n"/>
      <c r="F73" s="52" t="n"/>
      <c r="G73" s="52" t="n"/>
      <c r="H73" s="15" t="n"/>
    </row>
    <row r="74">
      <c r="A74" s="55" t="n"/>
      <c r="B74" s="56" t="n"/>
      <c r="C74" s="57" t="n"/>
      <c r="D74" s="58" t="n"/>
      <c r="E74" s="103" t="n"/>
      <c r="F74" s="104" t="n"/>
      <c r="G74" s="104" t="n"/>
      <c r="H74" s="61" t="n"/>
    </row>
    <row r="75">
      <c r="A75" s="62" t="n"/>
      <c r="B75" s="10" t="n"/>
      <c r="C75" s="62" t="n"/>
      <c r="D75" s="12" t="n"/>
      <c r="E75" s="78" t="n"/>
      <c r="F75" s="79" t="n"/>
      <c r="G75" s="79" t="n"/>
    </row>
    <row r="76"/>
    <row r="77"/>
    <row r="78"/>
  </sheetData>
  <mergeCells count="2">
    <mergeCell ref="B33:D33"/>
    <mergeCell ref="B32:D32"/>
  </mergeCells>
  <pageMargins left="0.24" right="0.16" top="0.87" bottom="0.7480314960629921" header="0.3149606299212598" footer="0.3149606299212598"/>
  <pageSetup orientation="portrait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view="pageBreakPreview" topLeftCell="A12" zoomScale="112" zoomScaleNormal="130" zoomScaleSheetLayoutView="112" workbookViewId="0">
      <selection activeCell="C15" sqref="C15"/>
    </sheetView>
  </sheetViews>
  <sheetFormatPr baseColWidth="8" defaultRowHeight="16.5"/>
  <cols>
    <col width="1.77734375" customWidth="1" style="63" min="1" max="1"/>
    <col width="3.33203125" customWidth="1" style="64" min="2" max="2"/>
    <col width="12" customWidth="1" style="63" min="3" max="3"/>
    <col width="49.6640625" customWidth="1" style="65" min="4" max="4"/>
    <col width="6.6640625" bestFit="1" customWidth="1" style="74" min="5" max="5"/>
    <col width="10.33203125" customWidth="1" style="75" min="6" max="7"/>
    <col width="1.88671875" customWidth="1" style="63" min="8" max="8"/>
    <col width="8.88671875" customWidth="1" style="63" min="9" max="256"/>
    <col width="1.77734375" customWidth="1" style="63" min="257" max="257"/>
    <col width="3.33203125" customWidth="1" style="63" min="258" max="258"/>
    <col width="12" customWidth="1" style="63" min="259" max="259"/>
    <col width="49.6640625" customWidth="1" style="63" min="260" max="260"/>
    <col width="6.6640625" bestFit="1" customWidth="1" style="63" min="261" max="261"/>
    <col width="10.33203125" customWidth="1" style="63" min="262" max="263"/>
    <col width="1.88671875" customWidth="1" style="63" min="264" max="264"/>
    <col width="8.88671875" customWidth="1" style="63" min="265" max="512"/>
    <col width="1.77734375" customWidth="1" style="63" min="513" max="513"/>
    <col width="3.33203125" customWidth="1" style="63" min="514" max="514"/>
    <col width="12" customWidth="1" style="63" min="515" max="515"/>
    <col width="49.6640625" customWidth="1" style="63" min="516" max="516"/>
    <col width="6.6640625" bestFit="1" customWidth="1" style="63" min="517" max="517"/>
    <col width="10.33203125" customWidth="1" style="63" min="518" max="519"/>
    <col width="1.88671875" customWidth="1" style="63" min="520" max="520"/>
    <col width="8.88671875" customWidth="1" style="63" min="521" max="768"/>
    <col width="1.77734375" customWidth="1" style="63" min="769" max="769"/>
    <col width="3.33203125" customWidth="1" style="63" min="770" max="770"/>
    <col width="12" customWidth="1" style="63" min="771" max="771"/>
    <col width="49.6640625" customWidth="1" style="63" min="772" max="772"/>
    <col width="6.6640625" bestFit="1" customWidth="1" style="63" min="773" max="773"/>
    <col width="10.33203125" customWidth="1" style="63" min="774" max="775"/>
    <col width="1.88671875" customWidth="1" style="63" min="776" max="776"/>
    <col width="8.88671875" customWidth="1" style="63" min="777" max="1024"/>
    <col width="1.77734375" customWidth="1" style="63" min="1025" max="1025"/>
    <col width="3.33203125" customWidth="1" style="63" min="1026" max="1026"/>
    <col width="12" customWidth="1" style="63" min="1027" max="1027"/>
    <col width="49.6640625" customWidth="1" style="63" min="1028" max="1028"/>
    <col width="6.6640625" bestFit="1" customWidth="1" style="63" min="1029" max="1029"/>
    <col width="10.33203125" customWidth="1" style="63" min="1030" max="1031"/>
    <col width="1.88671875" customWidth="1" style="63" min="1032" max="1032"/>
    <col width="8.88671875" customWidth="1" style="63" min="1033" max="1280"/>
    <col width="1.77734375" customWidth="1" style="63" min="1281" max="1281"/>
    <col width="3.33203125" customWidth="1" style="63" min="1282" max="1282"/>
    <col width="12" customWidth="1" style="63" min="1283" max="1283"/>
    <col width="49.6640625" customWidth="1" style="63" min="1284" max="1284"/>
    <col width="6.6640625" bestFit="1" customWidth="1" style="63" min="1285" max="1285"/>
    <col width="10.33203125" customWidth="1" style="63" min="1286" max="1287"/>
    <col width="1.88671875" customWidth="1" style="63" min="1288" max="1288"/>
    <col width="8.88671875" customWidth="1" style="63" min="1289" max="1536"/>
    <col width="1.77734375" customWidth="1" style="63" min="1537" max="1537"/>
    <col width="3.33203125" customWidth="1" style="63" min="1538" max="1538"/>
    <col width="12" customWidth="1" style="63" min="1539" max="1539"/>
    <col width="49.6640625" customWidth="1" style="63" min="1540" max="1540"/>
    <col width="6.6640625" bestFit="1" customWidth="1" style="63" min="1541" max="1541"/>
    <col width="10.33203125" customWidth="1" style="63" min="1542" max="1543"/>
    <col width="1.88671875" customWidth="1" style="63" min="1544" max="1544"/>
    <col width="8.88671875" customWidth="1" style="63" min="1545" max="1792"/>
    <col width="1.77734375" customWidth="1" style="63" min="1793" max="1793"/>
    <col width="3.33203125" customWidth="1" style="63" min="1794" max="1794"/>
    <col width="12" customWidth="1" style="63" min="1795" max="1795"/>
    <col width="49.6640625" customWidth="1" style="63" min="1796" max="1796"/>
    <col width="6.6640625" bestFit="1" customWidth="1" style="63" min="1797" max="1797"/>
    <col width="10.33203125" customWidth="1" style="63" min="1798" max="1799"/>
    <col width="1.88671875" customWidth="1" style="63" min="1800" max="1800"/>
    <col width="8.88671875" customWidth="1" style="63" min="1801" max="2048"/>
    <col width="1.77734375" customWidth="1" style="63" min="2049" max="2049"/>
    <col width="3.33203125" customWidth="1" style="63" min="2050" max="2050"/>
    <col width="12" customWidth="1" style="63" min="2051" max="2051"/>
    <col width="49.6640625" customWidth="1" style="63" min="2052" max="2052"/>
    <col width="6.6640625" bestFit="1" customWidth="1" style="63" min="2053" max="2053"/>
    <col width="10.33203125" customWidth="1" style="63" min="2054" max="2055"/>
    <col width="1.88671875" customWidth="1" style="63" min="2056" max="2056"/>
    <col width="8.88671875" customWidth="1" style="63" min="2057" max="2304"/>
    <col width="1.77734375" customWidth="1" style="63" min="2305" max="2305"/>
    <col width="3.33203125" customWidth="1" style="63" min="2306" max="2306"/>
    <col width="12" customWidth="1" style="63" min="2307" max="2307"/>
    <col width="49.6640625" customWidth="1" style="63" min="2308" max="2308"/>
    <col width="6.6640625" bestFit="1" customWidth="1" style="63" min="2309" max="2309"/>
    <col width="10.33203125" customWidth="1" style="63" min="2310" max="2311"/>
    <col width="1.88671875" customWidth="1" style="63" min="2312" max="2312"/>
    <col width="8.88671875" customWidth="1" style="63" min="2313" max="2560"/>
    <col width="1.77734375" customWidth="1" style="63" min="2561" max="2561"/>
    <col width="3.33203125" customWidth="1" style="63" min="2562" max="2562"/>
    <col width="12" customWidth="1" style="63" min="2563" max="2563"/>
    <col width="49.6640625" customWidth="1" style="63" min="2564" max="2564"/>
    <col width="6.6640625" bestFit="1" customWidth="1" style="63" min="2565" max="2565"/>
    <col width="10.33203125" customWidth="1" style="63" min="2566" max="2567"/>
    <col width="1.88671875" customWidth="1" style="63" min="2568" max="2568"/>
    <col width="8.88671875" customWidth="1" style="63" min="2569" max="2816"/>
    <col width="1.77734375" customWidth="1" style="63" min="2817" max="2817"/>
    <col width="3.33203125" customWidth="1" style="63" min="2818" max="2818"/>
    <col width="12" customWidth="1" style="63" min="2819" max="2819"/>
    <col width="49.6640625" customWidth="1" style="63" min="2820" max="2820"/>
    <col width="6.6640625" bestFit="1" customWidth="1" style="63" min="2821" max="2821"/>
    <col width="10.33203125" customWidth="1" style="63" min="2822" max="2823"/>
    <col width="1.88671875" customWidth="1" style="63" min="2824" max="2824"/>
    <col width="8.88671875" customWidth="1" style="63" min="2825" max="3072"/>
    <col width="1.77734375" customWidth="1" style="63" min="3073" max="3073"/>
    <col width="3.33203125" customWidth="1" style="63" min="3074" max="3074"/>
    <col width="12" customWidth="1" style="63" min="3075" max="3075"/>
    <col width="49.6640625" customWidth="1" style="63" min="3076" max="3076"/>
    <col width="6.6640625" bestFit="1" customWidth="1" style="63" min="3077" max="3077"/>
    <col width="10.33203125" customWidth="1" style="63" min="3078" max="3079"/>
    <col width="1.88671875" customWidth="1" style="63" min="3080" max="3080"/>
    <col width="8.88671875" customWidth="1" style="63" min="3081" max="3328"/>
    <col width="1.77734375" customWidth="1" style="63" min="3329" max="3329"/>
    <col width="3.33203125" customWidth="1" style="63" min="3330" max="3330"/>
    <col width="12" customWidth="1" style="63" min="3331" max="3331"/>
    <col width="49.6640625" customWidth="1" style="63" min="3332" max="3332"/>
    <col width="6.6640625" bestFit="1" customWidth="1" style="63" min="3333" max="3333"/>
    <col width="10.33203125" customWidth="1" style="63" min="3334" max="3335"/>
    <col width="1.88671875" customWidth="1" style="63" min="3336" max="3336"/>
    <col width="8.88671875" customWidth="1" style="63" min="3337" max="3584"/>
    <col width="1.77734375" customWidth="1" style="63" min="3585" max="3585"/>
    <col width="3.33203125" customWidth="1" style="63" min="3586" max="3586"/>
    <col width="12" customWidth="1" style="63" min="3587" max="3587"/>
    <col width="49.6640625" customWidth="1" style="63" min="3588" max="3588"/>
    <col width="6.6640625" bestFit="1" customWidth="1" style="63" min="3589" max="3589"/>
    <col width="10.33203125" customWidth="1" style="63" min="3590" max="3591"/>
    <col width="1.88671875" customWidth="1" style="63" min="3592" max="3592"/>
    <col width="8.88671875" customWidth="1" style="63" min="3593" max="3840"/>
    <col width="1.77734375" customWidth="1" style="63" min="3841" max="3841"/>
    <col width="3.33203125" customWidth="1" style="63" min="3842" max="3842"/>
    <col width="12" customWidth="1" style="63" min="3843" max="3843"/>
    <col width="49.6640625" customWidth="1" style="63" min="3844" max="3844"/>
    <col width="6.6640625" bestFit="1" customWidth="1" style="63" min="3845" max="3845"/>
    <col width="10.33203125" customWidth="1" style="63" min="3846" max="3847"/>
    <col width="1.88671875" customWidth="1" style="63" min="3848" max="3848"/>
    <col width="8.88671875" customWidth="1" style="63" min="3849" max="4096"/>
    <col width="1.77734375" customWidth="1" style="63" min="4097" max="4097"/>
    <col width="3.33203125" customWidth="1" style="63" min="4098" max="4098"/>
    <col width="12" customWidth="1" style="63" min="4099" max="4099"/>
    <col width="49.6640625" customWidth="1" style="63" min="4100" max="4100"/>
    <col width="6.6640625" bestFit="1" customWidth="1" style="63" min="4101" max="4101"/>
    <col width="10.33203125" customWidth="1" style="63" min="4102" max="4103"/>
    <col width="1.88671875" customWidth="1" style="63" min="4104" max="4104"/>
    <col width="8.88671875" customWidth="1" style="63" min="4105" max="4352"/>
    <col width="1.77734375" customWidth="1" style="63" min="4353" max="4353"/>
    <col width="3.33203125" customWidth="1" style="63" min="4354" max="4354"/>
    <col width="12" customWidth="1" style="63" min="4355" max="4355"/>
    <col width="49.6640625" customWidth="1" style="63" min="4356" max="4356"/>
    <col width="6.6640625" bestFit="1" customWidth="1" style="63" min="4357" max="4357"/>
    <col width="10.33203125" customWidth="1" style="63" min="4358" max="4359"/>
    <col width="1.88671875" customWidth="1" style="63" min="4360" max="4360"/>
    <col width="8.88671875" customWidth="1" style="63" min="4361" max="4608"/>
    <col width="1.77734375" customWidth="1" style="63" min="4609" max="4609"/>
    <col width="3.33203125" customWidth="1" style="63" min="4610" max="4610"/>
    <col width="12" customWidth="1" style="63" min="4611" max="4611"/>
    <col width="49.6640625" customWidth="1" style="63" min="4612" max="4612"/>
    <col width="6.6640625" bestFit="1" customWidth="1" style="63" min="4613" max="4613"/>
    <col width="10.33203125" customWidth="1" style="63" min="4614" max="4615"/>
    <col width="1.88671875" customWidth="1" style="63" min="4616" max="4616"/>
    <col width="8.88671875" customWidth="1" style="63" min="4617" max="4864"/>
    <col width="1.77734375" customWidth="1" style="63" min="4865" max="4865"/>
    <col width="3.33203125" customWidth="1" style="63" min="4866" max="4866"/>
    <col width="12" customWidth="1" style="63" min="4867" max="4867"/>
    <col width="49.6640625" customWidth="1" style="63" min="4868" max="4868"/>
    <col width="6.6640625" bestFit="1" customWidth="1" style="63" min="4869" max="4869"/>
    <col width="10.33203125" customWidth="1" style="63" min="4870" max="4871"/>
    <col width="1.88671875" customWidth="1" style="63" min="4872" max="4872"/>
    <col width="8.88671875" customWidth="1" style="63" min="4873" max="5120"/>
    <col width="1.77734375" customWidth="1" style="63" min="5121" max="5121"/>
    <col width="3.33203125" customWidth="1" style="63" min="5122" max="5122"/>
    <col width="12" customWidth="1" style="63" min="5123" max="5123"/>
    <col width="49.6640625" customWidth="1" style="63" min="5124" max="5124"/>
    <col width="6.6640625" bestFit="1" customWidth="1" style="63" min="5125" max="5125"/>
    <col width="10.33203125" customWidth="1" style="63" min="5126" max="5127"/>
    <col width="1.88671875" customWidth="1" style="63" min="5128" max="5128"/>
    <col width="8.88671875" customWidth="1" style="63" min="5129" max="5376"/>
    <col width="1.77734375" customWidth="1" style="63" min="5377" max="5377"/>
    <col width="3.33203125" customWidth="1" style="63" min="5378" max="5378"/>
    <col width="12" customWidth="1" style="63" min="5379" max="5379"/>
    <col width="49.6640625" customWidth="1" style="63" min="5380" max="5380"/>
    <col width="6.6640625" bestFit="1" customWidth="1" style="63" min="5381" max="5381"/>
    <col width="10.33203125" customWidth="1" style="63" min="5382" max="5383"/>
    <col width="1.88671875" customWidth="1" style="63" min="5384" max="5384"/>
    <col width="8.88671875" customWidth="1" style="63" min="5385" max="5632"/>
    <col width="1.77734375" customWidth="1" style="63" min="5633" max="5633"/>
    <col width="3.33203125" customWidth="1" style="63" min="5634" max="5634"/>
    <col width="12" customWidth="1" style="63" min="5635" max="5635"/>
    <col width="49.6640625" customWidth="1" style="63" min="5636" max="5636"/>
    <col width="6.6640625" bestFit="1" customWidth="1" style="63" min="5637" max="5637"/>
    <col width="10.33203125" customWidth="1" style="63" min="5638" max="5639"/>
    <col width="1.88671875" customWidth="1" style="63" min="5640" max="5640"/>
    <col width="8.88671875" customWidth="1" style="63" min="5641" max="5888"/>
    <col width="1.77734375" customWidth="1" style="63" min="5889" max="5889"/>
    <col width="3.33203125" customWidth="1" style="63" min="5890" max="5890"/>
    <col width="12" customWidth="1" style="63" min="5891" max="5891"/>
    <col width="49.6640625" customWidth="1" style="63" min="5892" max="5892"/>
    <col width="6.6640625" bestFit="1" customWidth="1" style="63" min="5893" max="5893"/>
    <col width="10.33203125" customWidth="1" style="63" min="5894" max="5895"/>
    <col width="1.88671875" customWidth="1" style="63" min="5896" max="5896"/>
    <col width="8.88671875" customWidth="1" style="63" min="5897" max="6144"/>
    <col width="1.77734375" customWidth="1" style="63" min="6145" max="6145"/>
    <col width="3.33203125" customWidth="1" style="63" min="6146" max="6146"/>
    <col width="12" customWidth="1" style="63" min="6147" max="6147"/>
    <col width="49.6640625" customWidth="1" style="63" min="6148" max="6148"/>
    <col width="6.6640625" bestFit="1" customWidth="1" style="63" min="6149" max="6149"/>
    <col width="10.33203125" customWidth="1" style="63" min="6150" max="6151"/>
    <col width="1.88671875" customWidth="1" style="63" min="6152" max="6152"/>
    <col width="8.88671875" customWidth="1" style="63" min="6153" max="6400"/>
    <col width="1.77734375" customWidth="1" style="63" min="6401" max="6401"/>
    <col width="3.33203125" customWidth="1" style="63" min="6402" max="6402"/>
    <col width="12" customWidth="1" style="63" min="6403" max="6403"/>
    <col width="49.6640625" customWidth="1" style="63" min="6404" max="6404"/>
    <col width="6.6640625" bestFit="1" customWidth="1" style="63" min="6405" max="6405"/>
    <col width="10.33203125" customWidth="1" style="63" min="6406" max="6407"/>
    <col width="1.88671875" customWidth="1" style="63" min="6408" max="6408"/>
    <col width="8.88671875" customWidth="1" style="63" min="6409" max="6656"/>
    <col width="1.77734375" customWidth="1" style="63" min="6657" max="6657"/>
    <col width="3.33203125" customWidth="1" style="63" min="6658" max="6658"/>
    <col width="12" customWidth="1" style="63" min="6659" max="6659"/>
    <col width="49.6640625" customWidth="1" style="63" min="6660" max="6660"/>
    <col width="6.6640625" bestFit="1" customWidth="1" style="63" min="6661" max="6661"/>
    <col width="10.33203125" customWidth="1" style="63" min="6662" max="6663"/>
    <col width="1.88671875" customWidth="1" style="63" min="6664" max="6664"/>
    <col width="8.88671875" customWidth="1" style="63" min="6665" max="6912"/>
    <col width="1.77734375" customWidth="1" style="63" min="6913" max="6913"/>
    <col width="3.33203125" customWidth="1" style="63" min="6914" max="6914"/>
    <col width="12" customWidth="1" style="63" min="6915" max="6915"/>
    <col width="49.6640625" customWidth="1" style="63" min="6916" max="6916"/>
    <col width="6.6640625" bestFit="1" customWidth="1" style="63" min="6917" max="6917"/>
    <col width="10.33203125" customWidth="1" style="63" min="6918" max="6919"/>
    <col width="1.88671875" customWidth="1" style="63" min="6920" max="6920"/>
    <col width="8.88671875" customWidth="1" style="63" min="6921" max="7168"/>
    <col width="1.77734375" customWidth="1" style="63" min="7169" max="7169"/>
    <col width="3.33203125" customWidth="1" style="63" min="7170" max="7170"/>
    <col width="12" customWidth="1" style="63" min="7171" max="7171"/>
    <col width="49.6640625" customWidth="1" style="63" min="7172" max="7172"/>
    <col width="6.6640625" bestFit="1" customWidth="1" style="63" min="7173" max="7173"/>
    <col width="10.33203125" customWidth="1" style="63" min="7174" max="7175"/>
    <col width="1.88671875" customWidth="1" style="63" min="7176" max="7176"/>
    <col width="8.88671875" customWidth="1" style="63" min="7177" max="7424"/>
    <col width="1.77734375" customWidth="1" style="63" min="7425" max="7425"/>
    <col width="3.33203125" customWidth="1" style="63" min="7426" max="7426"/>
    <col width="12" customWidth="1" style="63" min="7427" max="7427"/>
    <col width="49.6640625" customWidth="1" style="63" min="7428" max="7428"/>
    <col width="6.6640625" bestFit="1" customWidth="1" style="63" min="7429" max="7429"/>
    <col width="10.33203125" customWidth="1" style="63" min="7430" max="7431"/>
    <col width="1.88671875" customWidth="1" style="63" min="7432" max="7432"/>
    <col width="8.88671875" customWidth="1" style="63" min="7433" max="7680"/>
    <col width="1.77734375" customWidth="1" style="63" min="7681" max="7681"/>
    <col width="3.33203125" customWidth="1" style="63" min="7682" max="7682"/>
    <col width="12" customWidth="1" style="63" min="7683" max="7683"/>
    <col width="49.6640625" customWidth="1" style="63" min="7684" max="7684"/>
    <col width="6.6640625" bestFit="1" customWidth="1" style="63" min="7685" max="7685"/>
    <col width="10.33203125" customWidth="1" style="63" min="7686" max="7687"/>
    <col width="1.88671875" customWidth="1" style="63" min="7688" max="7688"/>
    <col width="8.88671875" customWidth="1" style="63" min="7689" max="7936"/>
    <col width="1.77734375" customWidth="1" style="63" min="7937" max="7937"/>
    <col width="3.33203125" customWidth="1" style="63" min="7938" max="7938"/>
    <col width="12" customWidth="1" style="63" min="7939" max="7939"/>
    <col width="49.6640625" customWidth="1" style="63" min="7940" max="7940"/>
    <col width="6.6640625" bestFit="1" customWidth="1" style="63" min="7941" max="7941"/>
    <col width="10.33203125" customWidth="1" style="63" min="7942" max="7943"/>
    <col width="1.88671875" customWidth="1" style="63" min="7944" max="7944"/>
    <col width="8.88671875" customWidth="1" style="63" min="7945" max="8192"/>
    <col width="1.77734375" customWidth="1" style="63" min="8193" max="8193"/>
    <col width="3.33203125" customWidth="1" style="63" min="8194" max="8194"/>
    <col width="12" customWidth="1" style="63" min="8195" max="8195"/>
    <col width="49.6640625" customWidth="1" style="63" min="8196" max="8196"/>
    <col width="6.6640625" bestFit="1" customWidth="1" style="63" min="8197" max="8197"/>
    <col width="10.33203125" customWidth="1" style="63" min="8198" max="8199"/>
    <col width="1.88671875" customWidth="1" style="63" min="8200" max="8200"/>
    <col width="8.88671875" customWidth="1" style="63" min="8201" max="8448"/>
    <col width="1.77734375" customWidth="1" style="63" min="8449" max="8449"/>
    <col width="3.33203125" customWidth="1" style="63" min="8450" max="8450"/>
    <col width="12" customWidth="1" style="63" min="8451" max="8451"/>
    <col width="49.6640625" customWidth="1" style="63" min="8452" max="8452"/>
    <col width="6.6640625" bestFit="1" customWidth="1" style="63" min="8453" max="8453"/>
    <col width="10.33203125" customWidth="1" style="63" min="8454" max="8455"/>
    <col width="1.88671875" customWidth="1" style="63" min="8456" max="8456"/>
    <col width="8.88671875" customWidth="1" style="63" min="8457" max="8704"/>
    <col width="1.77734375" customWidth="1" style="63" min="8705" max="8705"/>
    <col width="3.33203125" customWidth="1" style="63" min="8706" max="8706"/>
    <col width="12" customWidth="1" style="63" min="8707" max="8707"/>
    <col width="49.6640625" customWidth="1" style="63" min="8708" max="8708"/>
    <col width="6.6640625" bestFit="1" customWidth="1" style="63" min="8709" max="8709"/>
    <col width="10.33203125" customWidth="1" style="63" min="8710" max="8711"/>
    <col width="1.88671875" customWidth="1" style="63" min="8712" max="8712"/>
    <col width="8.88671875" customWidth="1" style="63" min="8713" max="8960"/>
    <col width="1.77734375" customWidth="1" style="63" min="8961" max="8961"/>
    <col width="3.33203125" customWidth="1" style="63" min="8962" max="8962"/>
    <col width="12" customWidth="1" style="63" min="8963" max="8963"/>
    <col width="49.6640625" customWidth="1" style="63" min="8964" max="8964"/>
    <col width="6.6640625" bestFit="1" customWidth="1" style="63" min="8965" max="8965"/>
    <col width="10.33203125" customWidth="1" style="63" min="8966" max="8967"/>
    <col width="1.88671875" customWidth="1" style="63" min="8968" max="8968"/>
    <col width="8.88671875" customWidth="1" style="63" min="8969" max="9216"/>
    <col width="1.77734375" customWidth="1" style="63" min="9217" max="9217"/>
    <col width="3.33203125" customWidth="1" style="63" min="9218" max="9218"/>
    <col width="12" customWidth="1" style="63" min="9219" max="9219"/>
    <col width="49.6640625" customWidth="1" style="63" min="9220" max="9220"/>
    <col width="6.6640625" bestFit="1" customWidth="1" style="63" min="9221" max="9221"/>
    <col width="10.33203125" customWidth="1" style="63" min="9222" max="9223"/>
    <col width="1.88671875" customWidth="1" style="63" min="9224" max="9224"/>
    <col width="8.88671875" customWidth="1" style="63" min="9225" max="9472"/>
    <col width="1.77734375" customWidth="1" style="63" min="9473" max="9473"/>
    <col width="3.33203125" customWidth="1" style="63" min="9474" max="9474"/>
    <col width="12" customWidth="1" style="63" min="9475" max="9475"/>
    <col width="49.6640625" customWidth="1" style="63" min="9476" max="9476"/>
    <col width="6.6640625" bestFit="1" customWidth="1" style="63" min="9477" max="9477"/>
    <col width="10.33203125" customWidth="1" style="63" min="9478" max="9479"/>
    <col width="1.88671875" customWidth="1" style="63" min="9480" max="9480"/>
    <col width="8.88671875" customWidth="1" style="63" min="9481" max="9728"/>
    <col width="1.77734375" customWidth="1" style="63" min="9729" max="9729"/>
    <col width="3.33203125" customWidth="1" style="63" min="9730" max="9730"/>
    <col width="12" customWidth="1" style="63" min="9731" max="9731"/>
    <col width="49.6640625" customWidth="1" style="63" min="9732" max="9732"/>
    <col width="6.6640625" bestFit="1" customWidth="1" style="63" min="9733" max="9733"/>
    <col width="10.33203125" customWidth="1" style="63" min="9734" max="9735"/>
    <col width="1.88671875" customWidth="1" style="63" min="9736" max="9736"/>
    <col width="8.88671875" customWidth="1" style="63" min="9737" max="9984"/>
    <col width="1.77734375" customWidth="1" style="63" min="9985" max="9985"/>
    <col width="3.33203125" customWidth="1" style="63" min="9986" max="9986"/>
    <col width="12" customWidth="1" style="63" min="9987" max="9987"/>
    <col width="49.6640625" customWidth="1" style="63" min="9988" max="9988"/>
    <col width="6.6640625" bestFit="1" customWidth="1" style="63" min="9989" max="9989"/>
    <col width="10.33203125" customWidth="1" style="63" min="9990" max="9991"/>
    <col width="1.88671875" customWidth="1" style="63" min="9992" max="9992"/>
    <col width="8.88671875" customWidth="1" style="63" min="9993" max="10240"/>
    <col width="1.77734375" customWidth="1" style="63" min="10241" max="10241"/>
    <col width="3.33203125" customWidth="1" style="63" min="10242" max="10242"/>
    <col width="12" customWidth="1" style="63" min="10243" max="10243"/>
    <col width="49.6640625" customWidth="1" style="63" min="10244" max="10244"/>
    <col width="6.6640625" bestFit="1" customWidth="1" style="63" min="10245" max="10245"/>
    <col width="10.33203125" customWidth="1" style="63" min="10246" max="10247"/>
    <col width="1.88671875" customWidth="1" style="63" min="10248" max="10248"/>
    <col width="8.88671875" customWidth="1" style="63" min="10249" max="10496"/>
    <col width="1.77734375" customWidth="1" style="63" min="10497" max="10497"/>
    <col width="3.33203125" customWidth="1" style="63" min="10498" max="10498"/>
    <col width="12" customWidth="1" style="63" min="10499" max="10499"/>
    <col width="49.6640625" customWidth="1" style="63" min="10500" max="10500"/>
    <col width="6.6640625" bestFit="1" customWidth="1" style="63" min="10501" max="10501"/>
    <col width="10.33203125" customWidth="1" style="63" min="10502" max="10503"/>
    <col width="1.88671875" customWidth="1" style="63" min="10504" max="10504"/>
    <col width="8.88671875" customWidth="1" style="63" min="10505" max="10752"/>
    <col width="1.77734375" customWidth="1" style="63" min="10753" max="10753"/>
    <col width="3.33203125" customWidth="1" style="63" min="10754" max="10754"/>
    <col width="12" customWidth="1" style="63" min="10755" max="10755"/>
    <col width="49.6640625" customWidth="1" style="63" min="10756" max="10756"/>
    <col width="6.6640625" bestFit="1" customWidth="1" style="63" min="10757" max="10757"/>
    <col width="10.33203125" customWidth="1" style="63" min="10758" max="10759"/>
    <col width="1.88671875" customWidth="1" style="63" min="10760" max="10760"/>
    <col width="8.88671875" customWidth="1" style="63" min="10761" max="11008"/>
    <col width="1.77734375" customWidth="1" style="63" min="11009" max="11009"/>
    <col width="3.33203125" customWidth="1" style="63" min="11010" max="11010"/>
    <col width="12" customWidth="1" style="63" min="11011" max="11011"/>
    <col width="49.6640625" customWidth="1" style="63" min="11012" max="11012"/>
    <col width="6.6640625" bestFit="1" customWidth="1" style="63" min="11013" max="11013"/>
    <col width="10.33203125" customWidth="1" style="63" min="11014" max="11015"/>
    <col width="1.88671875" customWidth="1" style="63" min="11016" max="11016"/>
    <col width="8.88671875" customWidth="1" style="63" min="11017" max="11264"/>
    <col width="1.77734375" customWidth="1" style="63" min="11265" max="11265"/>
    <col width="3.33203125" customWidth="1" style="63" min="11266" max="11266"/>
    <col width="12" customWidth="1" style="63" min="11267" max="11267"/>
    <col width="49.6640625" customWidth="1" style="63" min="11268" max="11268"/>
    <col width="6.6640625" bestFit="1" customWidth="1" style="63" min="11269" max="11269"/>
    <col width="10.33203125" customWidth="1" style="63" min="11270" max="11271"/>
    <col width="1.88671875" customWidth="1" style="63" min="11272" max="11272"/>
    <col width="8.88671875" customWidth="1" style="63" min="11273" max="11520"/>
    <col width="1.77734375" customWidth="1" style="63" min="11521" max="11521"/>
    <col width="3.33203125" customWidth="1" style="63" min="11522" max="11522"/>
    <col width="12" customWidth="1" style="63" min="11523" max="11523"/>
    <col width="49.6640625" customWidth="1" style="63" min="11524" max="11524"/>
    <col width="6.6640625" bestFit="1" customWidth="1" style="63" min="11525" max="11525"/>
    <col width="10.33203125" customWidth="1" style="63" min="11526" max="11527"/>
    <col width="1.88671875" customWidth="1" style="63" min="11528" max="11528"/>
    <col width="8.88671875" customWidth="1" style="63" min="11529" max="11776"/>
    <col width="1.77734375" customWidth="1" style="63" min="11777" max="11777"/>
    <col width="3.33203125" customWidth="1" style="63" min="11778" max="11778"/>
    <col width="12" customWidth="1" style="63" min="11779" max="11779"/>
    <col width="49.6640625" customWidth="1" style="63" min="11780" max="11780"/>
    <col width="6.6640625" bestFit="1" customWidth="1" style="63" min="11781" max="11781"/>
    <col width="10.33203125" customWidth="1" style="63" min="11782" max="11783"/>
    <col width="1.88671875" customWidth="1" style="63" min="11784" max="11784"/>
    <col width="8.88671875" customWidth="1" style="63" min="11785" max="12032"/>
    <col width="1.77734375" customWidth="1" style="63" min="12033" max="12033"/>
    <col width="3.33203125" customWidth="1" style="63" min="12034" max="12034"/>
    <col width="12" customWidth="1" style="63" min="12035" max="12035"/>
    <col width="49.6640625" customWidth="1" style="63" min="12036" max="12036"/>
    <col width="6.6640625" bestFit="1" customWidth="1" style="63" min="12037" max="12037"/>
    <col width="10.33203125" customWidth="1" style="63" min="12038" max="12039"/>
    <col width="1.88671875" customWidth="1" style="63" min="12040" max="12040"/>
    <col width="8.88671875" customWidth="1" style="63" min="12041" max="12288"/>
    <col width="1.77734375" customWidth="1" style="63" min="12289" max="12289"/>
    <col width="3.33203125" customWidth="1" style="63" min="12290" max="12290"/>
    <col width="12" customWidth="1" style="63" min="12291" max="12291"/>
    <col width="49.6640625" customWidth="1" style="63" min="12292" max="12292"/>
    <col width="6.6640625" bestFit="1" customWidth="1" style="63" min="12293" max="12293"/>
    <col width="10.33203125" customWidth="1" style="63" min="12294" max="12295"/>
    <col width="1.88671875" customWidth="1" style="63" min="12296" max="12296"/>
    <col width="8.88671875" customWidth="1" style="63" min="12297" max="12544"/>
    <col width="1.77734375" customWidth="1" style="63" min="12545" max="12545"/>
    <col width="3.33203125" customWidth="1" style="63" min="12546" max="12546"/>
    <col width="12" customWidth="1" style="63" min="12547" max="12547"/>
    <col width="49.6640625" customWidth="1" style="63" min="12548" max="12548"/>
    <col width="6.6640625" bestFit="1" customWidth="1" style="63" min="12549" max="12549"/>
    <col width="10.33203125" customWidth="1" style="63" min="12550" max="12551"/>
    <col width="1.88671875" customWidth="1" style="63" min="12552" max="12552"/>
    <col width="8.88671875" customWidth="1" style="63" min="12553" max="12800"/>
    <col width="1.77734375" customWidth="1" style="63" min="12801" max="12801"/>
    <col width="3.33203125" customWidth="1" style="63" min="12802" max="12802"/>
    <col width="12" customWidth="1" style="63" min="12803" max="12803"/>
    <col width="49.6640625" customWidth="1" style="63" min="12804" max="12804"/>
    <col width="6.6640625" bestFit="1" customWidth="1" style="63" min="12805" max="12805"/>
    <col width="10.33203125" customWidth="1" style="63" min="12806" max="12807"/>
    <col width="1.88671875" customWidth="1" style="63" min="12808" max="12808"/>
    <col width="8.88671875" customWidth="1" style="63" min="12809" max="13056"/>
    <col width="1.77734375" customWidth="1" style="63" min="13057" max="13057"/>
    <col width="3.33203125" customWidth="1" style="63" min="13058" max="13058"/>
    <col width="12" customWidth="1" style="63" min="13059" max="13059"/>
    <col width="49.6640625" customWidth="1" style="63" min="13060" max="13060"/>
    <col width="6.6640625" bestFit="1" customWidth="1" style="63" min="13061" max="13061"/>
    <col width="10.33203125" customWidth="1" style="63" min="13062" max="13063"/>
    <col width="1.88671875" customWidth="1" style="63" min="13064" max="13064"/>
    <col width="8.88671875" customWidth="1" style="63" min="13065" max="13312"/>
    <col width="1.77734375" customWidth="1" style="63" min="13313" max="13313"/>
    <col width="3.33203125" customWidth="1" style="63" min="13314" max="13314"/>
    <col width="12" customWidth="1" style="63" min="13315" max="13315"/>
    <col width="49.6640625" customWidth="1" style="63" min="13316" max="13316"/>
    <col width="6.6640625" bestFit="1" customWidth="1" style="63" min="13317" max="13317"/>
    <col width="10.33203125" customWidth="1" style="63" min="13318" max="13319"/>
    <col width="1.88671875" customWidth="1" style="63" min="13320" max="13320"/>
    <col width="8.88671875" customWidth="1" style="63" min="13321" max="13568"/>
    <col width="1.77734375" customWidth="1" style="63" min="13569" max="13569"/>
    <col width="3.33203125" customWidth="1" style="63" min="13570" max="13570"/>
    <col width="12" customWidth="1" style="63" min="13571" max="13571"/>
    <col width="49.6640625" customWidth="1" style="63" min="13572" max="13572"/>
    <col width="6.6640625" bestFit="1" customWidth="1" style="63" min="13573" max="13573"/>
    <col width="10.33203125" customWidth="1" style="63" min="13574" max="13575"/>
    <col width="1.88671875" customWidth="1" style="63" min="13576" max="13576"/>
    <col width="8.88671875" customWidth="1" style="63" min="13577" max="13824"/>
    <col width="1.77734375" customWidth="1" style="63" min="13825" max="13825"/>
    <col width="3.33203125" customWidth="1" style="63" min="13826" max="13826"/>
    <col width="12" customWidth="1" style="63" min="13827" max="13827"/>
    <col width="49.6640625" customWidth="1" style="63" min="13828" max="13828"/>
    <col width="6.6640625" bestFit="1" customWidth="1" style="63" min="13829" max="13829"/>
    <col width="10.33203125" customWidth="1" style="63" min="13830" max="13831"/>
    <col width="1.88671875" customWidth="1" style="63" min="13832" max="13832"/>
    <col width="8.88671875" customWidth="1" style="63" min="13833" max="14080"/>
    <col width="1.77734375" customWidth="1" style="63" min="14081" max="14081"/>
    <col width="3.33203125" customWidth="1" style="63" min="14082" max="14082"/>
    <col width="12" customWidth="1" style="63" min="14083" max="14083"/>
    <col width="49.6640625" customWidth="1" style="63" min="14084" max="14084"/>
    <col width="6.6640625" bestFit="1" customWidth="1" style="63" min="14085" max="14085"/>
    <col width="10.33203125" customWidth="1" style="63" min="14086" max="14087"/>
    <col width="1.88671875" customWidth="1" style="63" min="14088" max="14088"/>
    <col width="8.88671875" customWidth="1" style="63" min="14089" max="14336"/>
    <col width="1.77734375" customWidth="1" style="63" min="14337" max="14337"/>
    <col width="3.33203125" customWidth="1" style="63" min="14338" max="14338"/>
    <col width="12" customWidth="1" style="63" min="14339" max="14339"/>
    <col width="49.6640625" customWidth="1" style="63" min="14340" max="14340"/>
    <col width="6.6640625" bestFit="1" customWidth="1" style="63" min="14341" max="14341"/>
    <col width="10.33203125" customWidth="1" style="63" min="14342" max="14343"/>
    <col width="1.88671875" customWidth="1" style="63" min="14344" max="14344"/>
    <col width="8.88671875" customWidth="1" style="63" min="14345" max="14592"/>
    <col width="1.77734375" customWidth="1" style="63" min="14593" max="14593"/>
    <col width="3.33203125" customWidth="1" style="63" min="14594" max="14594"/>
    <col width="12" customWidth="1" style="63" min="14595" max="14595"/>
    <col width="49.6640625" customWidth="1" style="63" min="14596" max="14596"/>
    <col width="6.6640625" bestFit="1" customWidth="1" style="63" min="14597" max="14597"/>
    <col width="10.33203125" customWidth="1" style="63" min="14598" max="14599"/>
    <col width="1.88671875" customWidth="1" style="63" min="14600" max="14600"/>
    <col width="8.88671875" customWidth="1" style="63" min="14601" max="14848"/>
    <col width="1.77734375" customWidth="1" style="63" min="14849" max="14849"/>
    <col width="3.33203125" customWidth="1" style="63" min="14850" max="14850"/>
    <col width="12" customWidth="1" style="63" min="14851" max="14851"/>
    <col width="49.6640625" customWidth="1" style="63" min="14852" max="14852"/>
    <col width="6.6640625" bestFit="1" customWidth="1" style="63" min="14853" max="14853"/>
    <col width="10.33203125" customWidth="1" style="63" min="14854" max="14855"/>
    <col width="1.88671875" customWidth="1" style="63" min="14856" max="14856"/>
    <col width="8.88671875" customWidth="1" style="63" min="14857" max="15104"/>
    <col width="1.77734375" customWidth="1" style="63" min="15105" max="15105"/>
    <col width="3.33203125" customWidth="1" style="63" min="15106" max="15106"/>
    <col width="12" customWidth="1" style="63" min="15107" max="15107"/>
    <col width="49.6640625" customWidth="1" style="63" min="15108" max="15108"/>
    <col width="6.6640625" bestFit="1" customWidth="1" style="63" min="15109" max="15109"/>
    <col width="10.33203125" customWidth="1" style="63" min="15110" max="15111"/>
    <col width="1.88671875" customWidth="1" style="63" min="15112" max="15112"/>
    <col width="8.88671875" customWidth="1" style="63" min="15113" max="15360"/>
    <col width="1.77734375" customWidth="1" style="63" min="15361" max="15361"/>
    <col width="3.33203125" customWidth="1" style="63" min="15362" max="15362"/>
    <col width="12" customWidth="1" style="63" min="15363" max="15363"/>
    <col width="49.6640625" customWidth="1" style="63" min="15364" max="15364"/>
    <col width="6.6640625" bestFit="1" customWidth="1" style="63" min="15365" max="15365"/>
    <col width="10.33203125" customWidth="1" style="63" min="15366" max="15367"/>
    <col width="1.88671875" customWidth="1" style="63" min="15368" max="15368"/>
    <col width="8.88671875" customWidth="1" style="63" min="15369" max="15616"/>
    <col width="1.77734375" customWidth="1" style="63" min="15617" max="15617"/>
    <col width="3.33203125" customWidth="1" style="63" min="15618" max="15618"/>
    <col width="12" customWidth="1" style="63" min="15619" max="15619"/>
    <col width="49.6640625" customWidth="1" style="63" min="15620" max="15620"/>
    <col width="6.6640625" bestFit="1" customWidth="1" style="63" min="15621" max="15621"/>
    <col width="10.33203125" customWidth="1" style="63" min="15622" max="15623"/>
    <col width="1.88671875" customWidth="1" style="63" min="15624" max="15624"/>
    <col width="8.88671875" customWidth="1" style="63" min="15625" max="15872"/>
    <col width="1.77734375" customWidth="1" style="63" min="15873" max="15873"/>
    <col width="3.33203125" customWidth="1" style="63" min="15874" max="15874"/>
    <col width="12" customWidth="1" style="63" min="15875" max="15875"/>
    <col width="49.6640625" customWidth="1" style="63" min="15876" max="15876"/>
    <col width="6.6640625" bestFit="1" customWidth="1" style="63" min="15877" max="15877"/>
    <col width="10.33203125" customWidth="1" style="63" min="15878" max="15879"/>
    <col width="1.88671875" customWidth="1" style="63" min="15880" max="15880"/>
    <col width="8.88671875" customWidth="1" style="63" min="15881" max="16128"/>
    <col width="1.77734375" customWidth="1" style="63" min="16129" max="16129"/>
    <col width="3.33203125" customWidth="1" style="63" min="16130" max="16130"/>
    <col width="12" customWidth="1" style="63" min="16131" max="16131"/>
    <col width="49.6640625" customWidth="1" style="63" min="16132" max="16132"/>
    <col width="6.6640625" bestFit="1" customWidth="1" style="63" min="16133" max="16133"/>
    <col width="10.33203125" customWidth="1" style="63" min="16134" max="16135"/>
    <col width="1.88671875" customWidth="1" style="63" min="16136" max="16136"/>
    <col width="8.88671875" customWidth="1" style="63" min="16137" max="16384"/>
  </cols>
  <sheetData>
    <row r="1">
      <c r="A1" s="1" t="n"/>
      <c r="B1" s="2" t="n"/>
      <c r="C1" s="3" t="n"/>
      <c r="D1" s="4" t="n"/>
      <c r="E1" s="76" t="n"/>
      <c r="F1" s="77" t="n"/>
      <c r="G1" s="77" t="n"/>
      <c r="H1" s="7" t="n"/>
    </row>
    <row r="2" ht="13.5" customFormat="1" customHeight="1" s="62">
      <c r="A2" s="9" t="n"/>
      <c r="B2" s="10" t="n"/>
      <c r="D2" s="12" t="n"/>
      <c r="E2" s="78" t="n"/>
      <c r="F2" s="79" t="n"/>
      <c r="G2" s="79" t="n"/>
      <c r="H2" s="15" t="n"/>
    </row>
    <row r="3" ht="13.5" customFormat="1" customHeight="1" s="62">
      <c r="A3" s="9" t="n"/>
      <c r="B3" s="10" t="n"/>
      <c r="D3" s="12" t="n"/>
      <c r="E3" s="78" t="n"/>
      <c r="F3" s="79" t="n"/>
      <c r="G3" s="79" t="n"/>
      <c r="H3" s="15" t="n"/>
    </row>
    <row r="4" ht="13.5" customFormat="1" customHeight="1" s="62">
      <c r="A4" s="9" t="n"/>
      <c r="B4" s="10" t="n"/>
      <c r="D4" s="12" t="n"/>
      <c r="E4" s="78" t="n"/>
      <c r="F4" s="79" t="n"/>
      <c r="G4" s="79" t="n"/>
      <c r="H4" s="15" t="n"/>
    </row>
    <row r="5" ht="13.5" customFormat="1" customHeight="1" s="62">
      <c r="A5" s="9" t="n"/>
      <c r="B5" s="10" t="n"/>
      <c r="D5" s="12" t="n"/>
      <c r="E5" s="78" t="n"/>
      <c r="F5" s="79" t="n"/>
      <c r="G5" s="79" t="n"/>
      <c r="H5" s="15" t="n"/>
    </row>
    <row r="6" ht="13.5" customFormat="1" customHeight="1" s="62">
      <c r="A6" s="9" t="n"/>
      <c r="B6" s="10" t="n"/>
      <c r="D6" s="12" t="n"/>
      <c r="E6" s="78" t="n"/>
      <c r="F6" s="79" t="n"/>
      <c r="G6" s="79" t="n"/>
      <c r="H6" s="15" t="n"/>
    </row>
    <row r="7" ht="13.5" customFormat="1" customHeight="1" s="62">
      <c r="A7" s="9" t="n"/>
      <c r="B7" s="10" t="n"/>
      <c r="D7" s="12" t="n"/>
      <c r="E7" s="78" t="n"/>
      <c r="F7" s="79" t="n"/>
      <c r="G7" s="79" t="n"/>
      <c r="H7" s="15" t="n"/>
    </row>
    <row r="8" ht="14.45" customFormat="1" customHeight="1" s="62">
      <c r="A8" s="9" t="n"/>
      <c r="B8" s="10" t="n"/>
      <c r="C8" s="16" t="inlineStr">
        <is>
          <t xml:space="preserve">발주번호 </t>
        </is>
      </c>
      <c r="D8" s="12" t="inlineStr">
        <is>
          <t>: KAONI-CS260330-2</t>
        </is>
      </c>
      <c r="E8" s="78" t="n"/>
      <c r="F8" s="79" t="n"/>
      <c r="G8" s="79" t="n"/>
      <c r="H8" s="15" t="n"/>
    </row>
    <row r="9" ht="15.6" customFormat="1" customHeight="1" s="62">
      <c r="A9" s="9" t="n"/>
      <c r="B9" s="10" t="n"/>
      <c r="C9" s="16" t="inlineStr">
        <is>
          <t xml:space="preserve">발주일자 </t>
        </is>
      </c>
      <c r="D9" s="12" t="inlineStr">
        <is>
          <t>: 2026년 3월 30일</t>
        </is>
      </c>
      <c r="E9" s="78" t="n"/>
      <c r="F9" s="79" t="n"/>
      <c r="G9" s="79" t="n"/>
      <c r="H9" s="15" t="n"/>
    </row>
    <row r="10" ht="13.5" customFormat="1" customHeight="1" s="62">
      <c r="A10" s="9" t="n"/>
      <c r="B10" s="10" t="n"/>
      <c r="C10" s="16" t="inlineStr">
        <is>
          <t xml:space="preserve">수신 </t>
        </is>
      </c>
      <c r="D10" s="12" t="inlineStr">
        <is>
          <t>: 아라ICT</t>
        </is>
      </c>
      <c r="E10" s="78" t="n"/>
      <c r="F10" s="79" t="n"/>
      <c r="G10" s="79" t="n"/>
      <c r="H10" s="15" t="n"/>
    </row>
    <row r="11" ht="13.5" customFormat="1" customHeight="1" s="62">
      <c r="A11" s="9" t="n"/>
      <c r="B11" s="10" t="n"/>
      <c r="C11" s="16" t="inlineStr">
        <is>
          <t xml:space="preserve">참조 </t>
        </is>
      </c>
      <c r="D11" s="12" t="inlineStr">
        <is>
          <t>: 박승엽 대표님</t>
        </is>
      </c>
      <c r="E11" s="78" t="n"/>
      <c r="F11" s="62" t="inlineStr">
        <is>
          <t>경기도 과천시 과천대로12길 117</t>
        </is>
      </c>
      <c r="H11" s="15" t="n"/>
    </row>
    <row r="12" ht="13.5" customFormat="1" customHeight="1" s="62">
      <c r="A12" s="9" t="n"/>
      <c r="B12" s="10" t="n"/>
      <c r="C12" s="17" t="n"/>
      <c r="D12" s="12" t="n"/>
      <c r="E12" s="78" t="n"/>
      <c r="F12" s="62" t="inlineStr">
        <is>
          <t>과천펜타원 D동 12층 외</t>
        </is>
      </c>
      <c r="H12" s="15" t="n"/>
    </row>
    <row r="13" ht="13.5" customFormat="1" customHeight="1" s="62">
      <c r="A13" s="9" t="n"/>
      <c r="B13" s="10" t="n"/>
      <c r="C13" s="17" t="n"/>
      <c r="D13" s="12" t="n"/>
      <c r="E13" s="78" t="n"/>
      <c r="F13" s="62" t="inlineStr">
        <is>
          <t>Tel : (02)2140-5884</t>
        </is>
      </c>
      <c r="H13" s="15" t="n"/>
    </row>
    <row r="14" ht="13.5" customFormat="1" customHeight="1" s="62">
      <c r="A14" s="9" t="n"/>
      <c r="B14" s="10" t="n"/>
      <c r="C14" s="18" t="inlineStr">
        <is>
          <t xml:space="preserve">"정보통신기획평가원 보안솔루션 ASP_5Y 2년차" </t>
        </is>
      </c>
      <c r="D14" s="12" t="n"/>
      <c r="E14" s="78" t="n"/>
      <c r="F14" s="62" t="inlineStr">
        <is>
          <t>Fax : (02)2140-5888</t>
        </is>
      </c>
      <c r="H14" s="15" t="n"/>
    </row>
    <row r="15" ht="13.5" customFormat="1" customHeight="1" s="62">
      <c r="A15" s="9" t="n"/>
      <c r="B15" s="10" t="n"/>
      <c r="C15" s="18" t="inlineStr">
        <is>
          <t>건으로 아래와 같이 발주합니다</t>
        </is>
      </c>
      <c r="D15" s="12" t="n"/>
      <c r="E15" s="78" t="n"/>
      <c r="F15" s="62" t="inlineStr">
        <is>
          <t>대표이사  조  창  제</t>
        </is>
      </c>
      <c r="H15" s="15" t="n"/>
    </row>
    <row r="16" ht="13.5" customFormat="1" customHeight="1" s="62">
      <c r="A16" s="9" t="n"/>
      <c r="B16" s="20" t="n"/>
      <c r="C16" s="20" t="n"/>
      <c r="D16" s="21" t="n"/>
      <c r="E16" s="78" t="n"/>
      <c r="F16" s="79" t="n"/>
      <c r="G16" s="79" t="n"/>
      <c r="H16" s="15" t="n"/>
    </row>
    <row r="17" ht="13.5" customFormat="1" customHeight="1" s="10">
      <c r="A17" s="22" t="n"/>
      <c r="B17" s="23" t="inlineStr">
        <is>
          <t>NO.</t>
        </is>
      </c>
      <c r="C17" s="24" t="n"/>
      <c r="D17" s="25" t="inlineStr">
        <is>
          <t xml:space="preserve"> 품    명</t>
        </is>
      </c>
      <c r="E17" s="80" t="inlineStr">
        <is>
          <t>수량</t>
        </is>
      </c>
      <c r="F17" s="80" t="inlineStr">
        <is>
          <t>월 단가</t>
        </is>
      </c>
      <c r="G17" s="81" t="inlineStr">
        <is>
          <t>합계</t>
        </is>
      </c>
      <c r="H17" s="28" t="n"/>
    </row>
    <row r="18" ht="14.45" customFormat="1" customHeight="1" s="62">
      <c r="A18" s="9" t="n"/>
      <c r="B18" s="29" t="n">
        <v>1</v>
      </c>
      <c r="C18" s="30" t="n"/>
      <c r="D18" s="69" t="inlineStr">
        <is>
          <t>보안솔루션 ASP_5Y 2년차</t>
        </is>
      </c>
      <c r="E18" s="31" t="n">
        <v>1</v>
      </c>
      <c r="F18" s="84">
        <f>G18/E18</f>
        <v/>
      </c>
      <c r="G18" s="85" t="n">
        <v>34000000</v>
      </c>
      <c r="H18" s="34" t="n"/>
      <c r="I18" s="35" t="n"/>
      <c r="J18" s="35" t="n"/>
      <c r="L18" s="86" t="n"/>
    </row>
    <row r="19" ht="15" customFormat="1" customHeight="1" s="62">
      <c r="A19" s="9" t="n"/>
      <c r="B19" s="29" t="n"/>
      <c r="C19" s="37" t="n"/>
      <c r="D19" s="70" t="inlineStr">
        <is>
          <t xml:space="preserve">제품구성 </t>
        </is>
      </c>
      <c r="E19" s="31" t="n"/>
      <c r="F19" s="84" t="n"/>
      <c r="G19" s="85" t="n"/>
      <c r="H19" s="92" t="n"/>
      <c r="I19" s="35" t="n"/>
      <c r="J19" s="35" t="n"/>
    </row>
    <row r="20" ht="15" customFormat="1" customHeight="1" s="62">
      <c r="A20" s="9" t="n"/>
      <c r="B20" s="39" t="n"/>
      <c r="C20" s="37" t="n"/>
      <c r="D20" s="71" t="inlineStr">
        <is>
          <t xml:space="preserve">- TouchEn mTranskey for Android </t>
        </is>
      </c>
      <c r="E20" s="31" t="n">
        <v>3</v>
      </c>
      <c r="F20" s="94" t="n"/>
      <c r="G20" s="85" t="n"/>
      <c r="H20" s="95" t="n"/>
      <c r="J20" s="35" t="n"/>
      <c r="K20" s="35" t="n"/>
      <c r="L20" s="86" t="n"/>
    </row>
    <row r="21" ht="15" customFormat="1" customHeight="1" s="62">
      <c r="A21" s="9" t="n"/>
      <c r="B21" s="39" t="n"/>
      <c r="C21" s="42" t="n"/>
      <c r="D21" s="71" t="inlineStr">
        <is>
          <t>- TouchEn mTranskey for IOS</t>
        </is>
      </c>
      <c r="E21" s="31" t="n">
        <v>3</v>
      </c>
      <c r="F21" s="94" t="n"/>
      <c r="G21" s="84" t="n"/>
      <c r="H21" s="95" t="n"/>
      <c r="K21" s="35" t="n"/>
    </row>
    <row r="22" ht="15" customFormat="1" customHeight="1" s="62">
      <c r="A22" s="9" t="n"/>
      <c r="B22" s="39" t="n"/>
      <c r="C22" s="42" t="n"/>
      <c r="D22" s="71" t="inlineStr">
        <is>
          <t xml:space="preserve">- TouchEn mVaccine for Android </t>
        </is>
      </c>
      <c r="E22" s="44" t="n">
        <v>3</v>
      </c>
      <c r="F22" s="84" t="n"/>
      <c r="G22" s="85" t="n"/>
      <c r="H22" s="95" t="n"/>
    </row>
    <row r="23" ht="15" customFormat="1" customHeight="1" s="62">
      <c r="A23" s="9" t="n"/>
      <c r="B23" s="39" t="n"/>
      <c r="C23" s="42" t="n"/>
      <c r="D23" s="71" t="inlineStr">
        <is>
          <t>- TouchEn mVaccine for IOS</t>
        </is>
      </c>
      <c r="E23" s="44" t="n">
        <v>3</v>
      </c>
      <c r="F23" s="84" t="n"/>
      <c r="G23" s="84" t="n"/>
      <c r="H23" s="95" t="n"/>
    </row>
    <row r="24" ht="15" customFormat="1" customHeight="1" s="62">
      <c r="A24" s="9" t="n"/>
      <c r="B24" s="39" t="n"/>
      <c r="C24" s="42" t="n"/>
      <c r="D24" s="71" t="inlineStr">
        <is>
          <t>- TouchEn AppIron for Android</t>
        </is>
      </c>
      <c r="E24" s="44" t="n">
        <v>3</v>
      </c>
      <c r="F24" s="94" t="n"/>
      <c r="G24" s="85" t="n"/>
      <c r="H24" s="95" t="n"/>
    </row>
    <row r="25" ht="15" customFormat="1" customHeight="1" s="62">
      <c r="A25" s="9" t="n"/>
      <c r="B25" s="39" t="n"/>
      <c r="C25" s="42" t="n"/>
      <c r="D25" s="71" t="inlineStr">
        <is>
          <t>- TouchEn AppIron for IOS</t>
        </is>
      </c>
      <c r="E25" s="44" t="n">
        <v>3</v>
      </c>
      <c r="F25" s="94" t="n"/>
      <c r="G25" s="84" t="n"/>
      <c r="H25" s="95" t="n"/>
    </row>
    <row r="26" ht="22.5" customFormat="1" customHeight="1" s="62">
      <c r="A26" s="9" t="n"/>
      <c r="B26" s="73" t="inlineStr">
        <is>
          <t>합    계(VAT 별도)</t>
        </is>
      </c>
      <c r="C26" s="100" t="n"/>
      <c r="D26" s="101" t="n"/>
      <c r="E26" s="49" t="n"/>
      <c r="F26" s="102">
        <f>SUM(F17:F20)</f>
        <v/>
      </c>
      <c r="G26" s="102">
        <f>SUM(G17:G20)</f>
        <v/>
      </c>
      <c r="H26" s="15" t="n"/>
    </row>
    <row r="27" ht="22.5" customFormat="1" customHeight="1" s="62">
      <c r="A27" s="9" t="n"/>
      <c r="B27" s="73" t="inlineStr">
        <is>
          <t>합    계(VAT 포함)</t>
        </is>
      </c>
      <c r="C27" s="100" t="n"/>
      <c r="D27" s="101" t="n"/>
      <c r="E27" s="49" t="n"/>
      <c r="F27" s="102">
        <f>F26*1.1</f>
        <v/>
      </c>
      <c r="G27" s="102">
        <f>G26*1.1</f>
        <v/>
      </c>
      <c r="H27" s="15" t="n"/>
    </row>
    <row r="28" ht="12" customFormat="1" customHeight="1" s="62">
      <c r="A28" s="9" t="n"/>
      <c r="B28" s="51" t="n"/>
      <c r="C28" s="51" t="n"/>
      <c r="D28" s="51" t="n"/>
      <c r="E28" s="52" t="n"/>
      <c r="F28" s="52" t="n"/>
      <c r="G28" s="52" t="n"/>
      <c r="H28" s="15" t="n"/>
    </row>
    <row r="29" ht="12" customFormat="1" customHeight="1" s="62">
      <c r="A29" s="9" t="n"/>
      <c r="B29" s="51" t="n"/>
      <c r="C29" s="51" t="n"/>
      <c r="D29" s="51" t="n"/>
      <c r="E29" s="52" t="n"/>
      <c r="F29" s="52" t="n"/>
      <c r="G29" s="52" t="n"/>
      <c r="H29" s="15" t="n"/>
    </row>
    <row r="30" ht="12" customFormat="1" customHeight="1" s="62">
      <c r="A30" s="9" t="n"/>
      <c r="B30" s="51" t="n"/>
      <c r="C30" s="16" t="inlineStr">
        <is>
          <t xml:space="preserve">계약기간 </t>
        </is>
      </c>
      <c r="D30" s="53" t="inlineStr">
        <is>
          <t>: 2026년 1월 1일 ~ 2026년 12월 30일 (1년)</t>
        </is>
      </c>
      <c r="E30" s="52" t="n"/>
      <c r="F30" s="52" t="n"/>
      <c r="G30" s="52" t="n"/>
      <c r="H30" s="15" t="n"/>
    </row>
    <row r="31" ht="15" customFormat="1" customHeight="1" s="62">
      <c r="A31" s="9" t="n"/>
      <c r="C31" s="16" t="inlineStr">
        <is>
          <t xml:space="preserve">대금지급 </t>
        </is>
      </c>
      <c r="D31" s="53" t="inlineStr">
        <is>
          <t>: 4월 말 계산서 발행 /원청 수금 후 익월 15일 현금 지급</t>
        </is>
      </c>
      <c r="E31" s="52" t="n"/>
      <c r="F31" s="52" t="n"/>
      <c r="G31" s="52" t="n"/>
      <c r="H31" s="15" t="n"/>
    </row>
    <row r="32" ht="15" customFormat="1" customHeight="1" s="62">
      <c r="A32" s="9" t="n"/>
      <c r="C32" s="16" t="inlineStr">
        <is>
          <t xml:space="preserve">납품장소 </t>
        </is>
      </c>
      <c r="D32" s="53" t="inlineStr">
        <is>
          <t>: 고객사 지정위치</t>
        </is>
      </c>
      <c r="E32" s="52" t="n"/>
      <c r="F32" s="52" t="n"/>
      <c r="G32" s="52" t="n"/>
      <c r="H32" s="15" t="n"/>
    </row>
    <row r="33" ht="13.5" customFormat="1" customHeight="1" s="62">
      <c r="A33" s="9" t="n"/>
      <c r="C33" s="16" t="inlineStr">
        <is>
          <t xml:space="preserve">담당자 </t>
        </is>
      </c>
      <c r="D33" s="54" t="inlineStr">
        <is>
          <t>: 가온아이 CS사업부 박지혜 (iii511@kaoni.com 02-2140-5884)</t>
        </is>
      </c>
      <c r="E33" s="52" t="n"/>
      <c r="F33" s="52" t="n"/>
      <c r="G33" s="52" t="n"/>
      <c r="H33" s="15" t="n"/>
    </row>
    <row r="34" ht="13.5" customFormat="1" customHeight="1" s="62">
      <c r="A34" s="9" t="n"/>
      <c r="C34" s="16" t="inlineStr">
        <is>
          <t xml:space="preserve">참조 </t>
        </is>
      </c>
      <c r="D34" s="54" t="inlineStr">
        <is>
          <t>: 첨부 견적서</t>
        </is>
      </c>
      <c r="E34" s="52" t="n"/>
      <c r="F34" s="52" t="n"/>
      <c r="G34" s="52" t="n"/>
      <c r="H34" s="15" t="n"/>
    </row>
    <row r="35" ht="13.5" customFormat="1" customHeight="1" s="62">
      <c r="A35" s="9" t="n"/>
      <c r="C35" s="16" t="n"/>
      <c r="D35" s="54" t="n"/>
      <c r="E35" s="52" t="n"/>
      <c r="F35" s="52" t="n"/>
      <c r="G35" s="52" t="n"/>
      <c r="H35" s="15" t="n"/>
    </row>
    <row r="36" ht="12" customFormat="1" customHeight="1" s="62">
      <c r="A36" s="9" t="n"/>
      <c r="B36" s="54" t="n"/>
      <c r="C36" s="52" t="n"/>
      <c r="D36" s="52" t="n"/>
      <c r="E36" s="52" t="n"/>
      <c r="F36" s="52" t="n"/>
      <c r="G36" s="52" t="n"/>
      <c r="H36" s="15" t="n"/>
    </row>
    <row r="37" ht="14.25" customFormat="1" customHeight="1" s="62" thickBot="1">
      <c r="A37" s="55" t="n"/>
      <c r="B37" s="56" t="n"/>
      <c r="C37" s="57" t="n"/>
      <c r="D37" s="58" t="n"/>
      <c r="E37" s="103" t="n"/>
      <c r="F37" s="104" t="n"/>
      <c r="G37" s="104" t="n"/>
      <c r="H37" s="61" t="n"/>
    </row>
    <row r="38" ht="13.5" customFormat="1" customHeight="1" s="62">
      <c r="A38" s="62" t="n"/>
      <c r="B38" s="10" t="n"/>
      <c r="C38" s="62" t="n"/>
      <c r="D38" s="12" t="n"/>
      <c r="E38" s="78" t="n"/>
      <c r="F38" s="79" t="n"/>
      <c r="G38" s="79" t="n"/>
    </row>
  </sheetData>
  <mergeCells count="2">
    <mergeCell ref="B26:D26"/>
    <mergeCell ref="B27:D27"/>
  </mergeCells>
  <pageMargins left="0.24" right="0.16" top="0.87" bottom="0.7480314960629921" header="0.3149606299212598" footer="0.3149606299212598"/>
  <pageSetup orientation="portrait" paperSize="9" scale="9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박지혜</dc:creator>
  <dcterms:created xmlns:dcterms="http://purl.org/dc/terms/" xmlns:xsi="http://www.w3.org/2001/XMLSchema-instance" xsi:type="dcterms:W3CDTF">2026-03-30T07:21:53Z</dcterms:created>
  <dcterms:modified xmlns:dcterms="http://purl.org/dc/terms/" xmlns:xsi="http://www.w3.org/2001/XMLSchema-instance" xsi:type="dcterms:W3CDTF">2026-05-13T05:07:24Z</dcterms:modified>
  <cp:lastModifiedBy>박지혜</cp:lastModifiedBy>
  <cp:lastPrinted>2026-04-07T08:25:16Z</cp:lastPrinted>
</cp:coreProperties>
</file>