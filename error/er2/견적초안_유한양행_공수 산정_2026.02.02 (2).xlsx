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45" windowWidth="29040" windowHeight="15840" tabRatio="600" firstSheet="0" activeTab="0" autoFilterDateGrouping="1"/>
  </bookViews>
  <sheets>
    <sheet name="견적서" sheetId="1" state="visible" r:id="rId1"/>
    <sheet name="Sheet2" sheetId="2" state="visible" r:id="rId2"/>
    <sheet name="게시판" sheetId="3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1.05gb_nonplug_drive">[2]Supplement2!#REF!</definedName>
    <definedName name="_1.05gb_plug_drive">[2]Supplement2!#REF!</definedName>
    <definedName name="_2.1gb_fastwide_plug_drive">[2]Supplement2!#REF!</definedName>
    <definedName name="_2.1gb_nonplug_drive">[2]Supplement2!#REF!</definedName>
    <definedName name="_2.1gb_plug_drive">[2]Supplement2!#REF!</definedName>
    <definedName name="_32mb_70nsmemory">[2]Supplement2!#REF!</definedName>
    <definedName name="_4.3gb_fastwide_plug_drive">[2]Supplement2!#REF!</definedName>
    <definedName name="_4.3gb_nonplug_drive">[2]Supplement2!#REF!</definedName>
    <definedName name="_535mb_nonplug_drive">[2]Supplement2!#REF!</definedName>
    <definedName name="_8mb_70nsmemory">[2]Supplement2!#REF!</definedName>
    <definedName name="_SMART_SCSIarray">[2]Supplement2!#REF!</definedName>
    <definedName name="_SRP1">#REF!</definedName>
    <definedName name="_US1">#REF!</definedName>
    <definedName name="Chart_1">"Chart 1"</definedName>
    <definedName name="cost">#REF!</definedName>
    <definedName name="DazzlerPCI_array">[2]Supplement2!#REF!</definedName>
    <definedName name="GM">#REF!</definedName>
    <definedName name="MES분">[4]Supplement2!#REF!</definedName>
    <definedName name="minus">#REF!</definedName>
    <definedName name="PL_storage">[2]Supplement2!#REF!</definedName>
    <definedName name="PN">'[6]Upgrades pricing'!#REF!</definedName>
    <definedName name="Scorpion_M2_processor">[2]Supplement2!#REF!</definedName>
    <definedName name="Seawolf_M2_processor">[2]Supplement2!#REF!</definedName>
    <definedName name="seawolf_TRadder">#REF!</definedName>
    <definedName name="SRP">#REF!</definedName>
    <definedName name="Sturgeon_M2_processor">[2]Supplement2!#REF!</definedName>
    <definedName name="TStorm_M2_Processor">[2]Supplement2!#REF!</definedName>
    <definedName name="UPG_PN">#REF!</definedName>
    <definedName name="가">#REF!</definedName>
    <definedName name="게르">#REF!</definedName>
    <definedName name="게르마니12">#REF!</definedName>
    <definedName name="기준단가표">[7]기준단가표!$A$3:$G$24</definedName>
    <definedName name="기준데이타">#REF!</definedName>
    <definedName name="대양12">#REF!</definedName>
    <definedName name="대양전기">#REF!</definedName>
    <definedName name="대양전기12">#REF!</definedName>
    <definedName name="대양전기123">#REF!</definedName>
    <definedName name="성창">#REF!</definedName>
    <definedName name="성창09.06">#REF!</definedName>
    <definedName name="정일">#REF!</definedName>
    <definedName name="제_품_명">견적서!#REF!</definedName>
    <definedName name="ㅣ라">#REF!</definedName>
    <definedName name="_1.05gb_nonplug_drive" localSheetId="0">[1]Supplement2!#REF!</definedName>
    <definedName name="_1.05gb_plug_drive" localSheetId="0">[1]Supplement2!#REF!</definedName>
    <definedName name="_2.1gb_fastwide_plug_drive" localSheetId="0">[1]Supplement2!#REF!</definedName>
    <definedName name="_2.1gb_nonplug_drive" localSheetId="0">[1]Supplement2!#REF!</definedName>
    <definedName name="_2.1gb_plug_drive" localSheetId="0">[1]Supplement2!#REF!</definedName>
    <definedName name="_32mb_70nsmemory" localSheetId="0">[1]Supplement2!#REF!</definedName>
    <definedName name="_4.3gb_fastwide_plug_drive" localSheetId="0">[1]Supplement2!#REF!</definedName>
    <definedName name="_4.3gb_nonplug_drive" localSheetId="0">[1]Supplement2!#REF!</definedName>
    <definedName name="_535mb_nonplug_drive" localSheetId="0">[1]Supplement2!#REF!</definedName>
    <definedName name="_8mb_70nsmemory" localSheetId="0">[1]Supplement2!#REF!</definedName>
    <definedName name="_SMART_SCSIarray" localSheetId="0">[1]Supplement2!#REF!</definedName>
    <definedName name="DazzlerPCI_array" localSheetId="0">[1]Supplement2!#REF!</definedName>
    <definedName name="MES분" localSheetId="0">[3]Supplement2!#REF!</definedName>
    <definedName name="PL_storage" localSheetId="0">[1]Supplement2!#REF!</definedName>
    <definedName name="PN" localSheetId="0">'[5]Upgrades pricing'!#REF!</definedName>
    <definedName name="Scorpion_M2_processor" localSheetId="0">[1]Supplement2!#REF!</definedName>
    <definedName name="Seawolf_M2_processor" localSheetId="0">[1]Supplement2!#REF!</definedName>
    <definedName name="Sturgeon_M2_processor" localSheetId="0">[1]Supplement2!#REF!</definedName>
    <definedName name="TStorm_M2_Processor" localSheetId="0">[1]Supplement2!#REF!</definedName>
    <definedName name="가" localSheetId="0">#REF!</definedName>
    <definedName name="게르" localSheetId="0">#REF!</definedName>
    <definedName name="게르마니12" localSheetId="0">#REF!</definedName>
    <definedName name="기준데이타" localSheetId="0">#REF!</definedName>
    <definedName name="대양12" localSheetId="0">#REF!</definedName>
    <definedName name="대양전기" localSheetId="0">#REF!</definedName>
    <definedName name="대양전기12" localSheetId="0">#REF!</definedName>
    <definedName name="대양전기123" localSheetId="0">#REF!</definedName>
    <definedName name="정일" localSheetId="0">#REF!</definedName>
    <definedName name="ㅣ라" localSheetId="0">#REF!</definedName>
    <definedName name="_xlnm.Print_Area" localSheetId="0">'견적서'!$B$1:$I$27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_-* #,##0_-;\-* #,##0_-;_-* &quot;-&quot;_-;_-@_-"/>
    <numFmt numFmtId="165" formatCode="[$-F800]dddd\,\ mmmm\ dd\,\ yyyy"/>
    <numFmt numFmtId="166" formatCode="&quot;견적금액 : &quot;#,##0&quot;,000원 (VAT별도)&quot;;&quot;견적금액: &quot;\-#,##0,000&quot;원(VAT별도)&quot;"/>
    <numFmt numFmtId="167" formatCode="_-* #,##0_-;\-* #,##0_-;_-* &quot;-&quot;?_-;_-@_-"/>
    <numFmt numFmtId="168" formatCode="_-* #,##0.00_-;\-* #,##0.00_-;_-* &quot;-&quot;?_-;_-@_-"/>
    <numFmt numFmtId="169" formatCode="_-* #,##0_-;\-* #,##0_-;_-* &quot;-&quot;??_-;_-@_-"/>
    <numFmt numFmtId="170" formatCode="_-* #,##0.00_-;\-* #,##0.00_-;_-* &quot;-&quot;??_-;_-@_-"/>
  </numFmts>
  <fonts count="3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고딕"/>
      <charset val="129"/>
      <family val="3"/>
      <b val="1"/>
      <color theme="1"/>
      <sz val="12"/>
    </font>
    <font>
      <name val="돋움"/>
      <charset val="129"/>
      <family val="3"/>
      <sz val="11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color theme="0"/>
      <sz val="20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sz val="10"/>
      <scheme val="minor"/>
    </font>
    <font>
      <name val="Times New Roman"/>
      <family val="1"/>
      <b val="1"/>
      <sz val="10"/>
    </font>
    <font>
      <name val="Malgun Gothic"/>
      <charset val="129"/>
      <family val="3"/>
      <b val="1"/>
      <sz val="10"/>
    </font>
    <font>
      <name val="돋움"/>
      <charset val="129"/>
      <family val="3"/>
      <color indexed="12"/>
      <sz val="11"/>
      <u val="single"/>
    </font>
    <font>
      <name val="맑은 고딕"/>
      <charset val="129"/>
      <family val="3"/>
      <b val="1"/>
      <sz val="12"/>
      <scheme val="minor"/>
    </font>
    <font>
      <name val="Helv"/>
      <family val="2"/>
      <sz val="10"/>
    </font>
    <font>
      <name val="맑은 고딕"/>
      <charset val="129"/>
      <family val="3"/>
      <b val="1"/>
      <color indexed="12"/>
      <sz val="16"/>
      <u val="single"/>
      <scheme val="minor"/>
    </font>
    <font>
      <name val="맑은 고딕"/>
      <charset val="129"/>
      <family val="3"/>
      <b val="1"/>
      <color indexed="12"/>
      <sz val="14"/>
      <u val="single"/>
      <scheme val="minor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sz val="14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color indexed="9"/>
      <sz val="11"/>
      <scheme val="minor"/>
    </font>
    <font>
      <name val="바탕체"/>
      <charset val="129"/>
      <family val="1"/>
      <sz val="12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sz val="8"/>
      <scheme val="minor"/>
    </font>
    <font>
      <name val="돋움"/>
      <charset val="129"/>
      <family val="2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000000"/>
      <sz val="10"/>
    </font>
    <font>
      <name val="맑은 고딕"/>
      <charset val="129"/>
      <family val="2"/>
      <color theme="1"/>
      <sz val="11"/>
    </font>
  </fonts>
  <fills count="11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9E1F2"/>
        <bgColor rgb="FF000000"/>
      </patternFill>
    </fill>
  </fills>
  <borders count="8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theme="0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1">
    <xf numFmtId="0" fontId="0" fillId="0" borderId="0" applyAlignment="1">
      <alignment vertical="center"/>
    </xf>
    <xf numFmtId="0" fontId="3" fillId="0" borderId="0"/>
    <xf numFmtId="41" fontId="3" fillId="0" borderId="0" applyAlignment="1">
      <alignment vertical="center"/>
    </xf>
    <xf numFmtId="0" fontId="14" fillId="0" borderId="0" applyAlignment="1" applyProtection="1">
      <alignment vertical="top"/>
      <protection locked="0" hidden="0"/>
    </xf>
    <xf numFmtId="0" fontId="3" fillId="0" borderId="0"/>
    <xf numFmtId="0" fontId="16" fillId="0" borderId="0"/>
    <xf numFmtId="0" fontId="23" fillId="0" borderId="0"/>
    <xf numFmtId="0" fontId="16" fillId="0" borderId="0"/>
    <xf numFmtId="9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</cellStyleXfs>
  <cellXfs count="223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0" borderId="0" applyAlignment="1" pivotButton="0" quotePrefix="0" xfId="1">
      <alignment vertical="center"/>
    </xf>
    <xf numFmtId="0" fontId="6" fillId="0" borderId="0" applyAlignment="1" pivotButton="0" quotePrefix="0" xfId="1">
      <alignment vertical="center"/>
    </xf>
    <xf numFmtId="0" fontId="9" fillId="0" borderId="0" applyAlignment="1" pivotButton="0" quotePrefix="0" xfId="1">
      <alignment vertical="center" wrapText="1"/>
    </xf>
    <xf numFmtId="0" fontId="11" fillId="0" borderId="9" applyAlignment="1" pivotButton="0" quotePrefix="0" xfId="1">
      <alignment horizontal="left" vertical="center"/>
    </xf>
    <xf numFmtId="0" fontId="10" fillId="0" borderId="9" applyAlignment="1" pivotButton="0" quotePrefix="0" xfId="1">
      <alignment horizontal="distributed" vertical="center"/>
    </xf>
    <xf numFmtId="164" fontId="11" fillId="0" borderId="9" applyAlignment="1" pivotButton="0" quotePrefix="0" xfId="2">
      <alignment horizontal="left" vertical="center"/>
    </xf>
    <xf numFmtId="0" fontId="11" fillId="0" borderId="9" applyAlignment="1" pivotButton="0" quotePrefix="0" xfId="1">
      <alignment vertical="center"/>
    </xf>
    <xf numFmtId="20" fontId="11" fillId="0" borderId="10" applyAlignment="1" pivotButton="0" quotePrefix="0" xfId="1">
      <alignment horizontal="left" vertical="center"/>
    </xf>
    <xf numFmtId="0" fontId="4" fillId="0" borderId="10" applyAlignment="1" pivotButton="0" quotePrefix="0" xfId="1">
      <alignment vertical="center"/>
    </xf>
    <xf numFmtId="0" fontId="10" fillId="0" borderId="10" applyAlignment="1" pivotButton="0" quotePrefix="0" xfId="1">
      <alignment horizontal="distributed" vertical="center"/>
    </xf>
    <xf numFmtId="164" fontId="11" fillId="0" borderId="10" applyAlignment="1" pivotButton="0" quotePrefix="0" xfId="2">
      <alignment horizontal="left" vertical="center"/>
    </xf>
    <xf numFmtId="0" fontId="11" fillId="0" borderId="10" applyAlignment="1" pivotButton="0" quotePrefix="0" xfId="1">
      <alignment vertical="center"/>
    </xf>
    <xf numFmtId="165" fontId="11" fillId="0" borderId="10" applyAlignment="1" pivotButton="0" quotePrefix="0" xfId="1">
      <alignment horizontal="left" vertical="center"/>
    </xf>
    <xf numFmtId="0" fontId="11" fillId="0" borderId="10" applyAlignment="1" pivotButton="0" quotePrefix="0" xfId="1">
      <alignment horizontal="left" vertical="center"/>
    </xf>
    <xf numFmtId="0" fontId="11" fillId="0" borderId="11" applyAlignment="1" pivotButton="0" quotePrefix="0" xfId="1">
      <alignment horizontal="left" vertical="center"/>
    </xf>
    <xf numFmtId="164" fontId="14" fillId="0" borderId="10" applyAlignment="1" pivotButton="0" quotePrefix="0" xfId="3">
      <alignment horizontal="left" vertical="center"/>
    </xf>
    <xf numFmtId="0" fontId="11" fillId="0" borderId="12" applyAlignment="1" pivotButton="0" quotePrefix="0" xfId="1">
      <alignment horizontal="left" vertical="center"/>
    </xf>
    <xf numFmtId="0" fontId="11" fillId="0" borderId="13" applyAlignment="1" pivotButton="0" quotePrefix="0" xfId="1">
      <alignment horizontal="distributed" vertical="center"/>
    </xf>
    <xf numFmtId="164" fontId="14" fillId="0" borderId="13" applyAlignment="1" pivotButton="0" quotePrefix="0" xfId="2">
      <alignment horizontal="left" vertical="center"/>
    </xf>
    <xf numFmtId="0" fontId="11" fillId="0" borderId="13" applyAlignment="1" pivotButton="0" quotePrefix="0" xfId="1">
      <alignment horizontal="left" vertical="center"/>
    </xf>
    <xf numFmtId="0" fontId="15" fillId="0" borderId="0" applyAlignment="1" pivotButton="0" quotePrefix="0" xfId="1">
      <alignment horizontal="left" vertical="center" indent="1"/>
    </xf>
    <xf numFmtId="0" fontId="11" fillId="0" borderId="0" applyAlignment="1" pivotButton="0" quotePrefix="0" xfId="1">
      <alignment horizontal="left" vertical="center"/>
    </xf>
    <xf numFmtId="0" fontId="11" fillId="0" borderId="0" applyAlignment="1" pivotButton="0" quotePrefix="0" xfId="4">
      <alignment horizontal="left" vertical="center"/>
    </xf>
    <xf numFmtId="164" fontId="4" fillId="0" borderId="0" applyAlignment="1" pivotButton="0" quotePrefix="0" xfId="2">
      <alignment vertical="center"/>
    </xf>
    <xf numFmtId="166" fontId="17" fillId="0" borderId="0" applyAlignment="1" pivotButton="0" quotePrefix="0" xfId="5">
      <alignment vertical="center"/>
    </xf>
    <xf numFmtId="166" fontId="18" fillId="0" borderId="0" applyAlignment="1" pivotButton="0" quotePrefix="0" xfId="5">
      <alignment vertical="center"/>
    </xf>
    <xf numFmtId="0" fontId="19" fillId="0" borderId="0" applyAlignment="1" pivotButton="0" quotePrefix="0" xfId="1">
      <alignment vertical="center"/>
    </xf>
    <xf numFmtId="3" fontId="19" fillId="0" borderId="0" applyAlignment="1" pivotButton="0" quotePrefix="0" xfId="1">
      <alignment vertical="center"/>
    </xf>
    <xf numFmtId="164" fontId="19" fillId="0" borderId="0" applyAlignment="1" pivotButton="0" quotePrefix="0" xfId="2">
      <alignment vertical="center"/>
    </xf>
    <xf numFmtId="0" fontId="11" fillId="0" borderId="14" applyAlignment="1" pivotButton="0" quotePrefix="0" xfId="1">
      <alignment horizontal="center" vertical="center"/>
    </xf>
    <xf numFmtId="0" fontId="15" fillId="0" borderId="0" pivotButton="0" quotePrefix="0" xfId="1"/>
    <xf numFmtId="0" fontId="20" fillId="0" borderId="0" pivotButton="0" quotePrefix="0" xfId="1"/>
    <xf numFmtId="0" fontId="21" fillId="0" borderId="0" pivotButton="0" quotePrefix="0" xfId="1"/>
    <xf numFmtId="164" fontId="21" fillId="0" borderId="0" pivotButton="0" quotePrefix="0" xfId="2"/>
    <xf numFmtId="0" fontId="21" fillId="0" borderId="0" applyAlignment="1" pivotButton="0" quotePrefix="0" xfId="1">
      <alignment horizontal="right"/>
    </xf>
    <xf numFmtId="0" fontId="4" fillId="0" borderId="15" applyAlignment="1" pivotButton="0" quotePrefix="0" xfId="1">
      <alignment horizontal="center" vertical="center"/>
    </xf>
    <xf numFmtId="0" fontId="11" fillId="0" borderId="0" applyAlignment="1" pivotButton="0" quotePrefix="0" xfId="4">
      <alignment horizontal="center" vertical="center"/>
    </xf>
    <xf numFmtId="0" fontId="5" fillId="0" borderId="0" applyAlignment="1" pivotButton="0" quotePrefix="0" xfId="4">
      <alignment horizontal="center" vertical="center"/>
    </xf>
    <xf numFmtId="0" fontId="6" fillId="0" borderId="23" applyAlignment="1" pivotButton="0" quotePrefix="0" xfId="4">
      <alignment horizontal="center" vertical="center" wrapText="1"/>
    </xf>
    <xf numFmtId="167" fontId="6" fillId="0" borderId="26" applyAlignment="1" pivotButton="0" quotePrefix="0" xfId="2">
      <alignment horizontal="center" vertical="center"/>
    </xf>
    <xf numFmtId="164" fontId="6" fillId="0" borderId="27" applyAlignment="1" pivotButton="0" quotePrefix="0" xfId="2">
      <alignment horizontal="center" vertical="center"/>
    </xf>
    <xf numFmtId="164" fontId="6" fillId="0" borderId="28" applyAlignment="1" pivotButton="0" quotePrefix="0" xfId="2">
      <alignment horizontal="center" vertical="center"/>
    </xf>
    <xf numFmtId="0" fontId="6" fillId="0" borderId="0" applyAlignment="1" pivotButton="0" quotePrefix="0" xfId="4">
      <alignment horizontal="right" vertical="center"/>
    </xf>
    <xf numFmtId="0" fontId="6" fillId="0" borderId="30" applyAlignment="1" pivotButton="0" quotePrefix="0" xfId="4">
      <alignment horizontal="center" vertical="center" wrapText="1"/>
    </xf>
    <xf numFmtId="168" fontId="6" fillId="0" borderId="26" applyAlignment="1" pivotButton="0" quotePrefix="0" xfId="2">
      <alignment horizontal="center" vertical="center"/>
    </xf>
    <xf numFmtId="168" fontId="6" fillId="0" borderId="39" applyAlignment="1" pivotButton="0" quotePrefix="0" xfId="2">
      <alignment horizontal="center" vertical="center"/>
    </xf>
    <xf numFmtId="164" fontId="6" fillId="0" borderId="40" applyAlignment="1" pivotButton="0" quotePrefix="0" xfId="2">
      <alignment horizontal="center" vertical="center"/>
    </xf>
    <xf numFmtId="0" fontId="6" fillId="0" borderId="42" applyAlignment="1" pivotButton="0" quotePrefix="0" xfId="4">
      <alignment horizontal="right" vertical="center"/>
    </xf>
    <xf numFmtId="9" fontId="6" fillId="0" borderId="48" applyAlignment="1" pivotButton="0" quotePrefix="0" xfId="8">
      <alignment horizontal="right" vertical="center"/>
    </xf>
    <xf numFmtId="0" fontId="21" fillId="0" borderId="49" applyAlignment="1" pivotButton="0" quotePrefix="0" xfId="4">
      <alignment horizontal="right" vertical="center"/>
    </xf>
    <xf numFmtId="0" fontId="21" fillId="0" borderId="50" applyAlignment="1" pivotButton="0" quotePrefix="0" xfId="4">
      <alignment horizontal="right" vertical="center"/>
    </xf>
    <xf numFmtId="0" fontId="21" fillId="0" borderId="51" applyAlignment="1" pivotButton="0" quotePrefix="0" xfId="4">
      <alignment horizontal="right" vertical="center"/>
    </xf>
    <xf numFmtId="0" fontId="21" fillId="0" borderId="51" applyAlignment="1" pivotButton="0" quotePrefix="0" xfId="4">
      <alignment horizontal="right" vertical="center" shrinkToFit="1"/>
    </xf>
    <xf numFmtId="9" fontId="21" fillId="0" borderId="51" applyAlignment="1" pivotButton="0" quotePrefix="0" xfId="4">
      <alignment horizontal="right" vertical="center"/>
    </xf>
    <xf numFmtId="164" fontId="21" fillId="0" borderId="51" applyAlignment="1" pivotButton="0" quotePrefix="0" xfId="2">
      <alignment horizontal="right" vertical="center"/>
    </xf>
    <xf numFmtId="164" fontId="21" fillId="0" borderId="52" applyAlignment="1" pivotButton="0" quotePrefix="0" xfId="2">
      <alignment horizontal="right" vertical="center"/>
    </xf>
    <xf numFmtId="0" fontId="21" fillId="0" borderId="0" applyAlignment="1" pivotButton="0" quotePrefix="0" xfId="4">
      <alignment horizontal="right" vertical="center"/>
    </xf>
    <xf numFmtId="0" fontId="21" fillId="0" borderId="53" applyAlignment="1" pivotButton="0" quotePrefix="0" xfId="4">
      <alignment horizontal="right" vertical="center"/>
    </xf>
    <xf numFmtId="0" fontId="21" fillId="5" borderId="2" applyAlignment="1" pivotButton="0" quotePrefix="0" xfId="4">
      <alignment horizontal="center" vertical="center" shrinkToFit="1"/>
    </xf>
    <xf numFmtId="164" fontId="21" fillId="5" borderId="2" applyAlignment="1" pivotButton="0" quotePrefix="0" xfId="2">
      <alignment horizontal="center" vertical="center"/>
    </xf>
    <xf numFmtId="164" fontId="21" fillId="5" borderId="2" applyAlignment="1" pivotButton="0" quotePrefix="0" xfId="2">
      <alignment vertical="center"/>
    </xf>
    <xf numFmtId="164" fontId="21" fillId="0" borderId="49" applyAlignment="1" pivotButton="0" quotePrefix="0" xfId="2">
      <alignment horizontal="right" vertical="center"/>
    </xf>
    <xf numFmtId="164" fontId="11" fillId="4" borderId="23" applyAlignment="1" pivotButton="0" quotePrefix="0" xfId="2">
      <alignment horizontal="center" vertical="center" shrinkToFit="1"/>
    </xf>
    <xf numFmtId="164" fontId="11" fillId="4" borderId="23" applyAlignment="1" pivotButton="0" quotePrefix="0" xfId="2">
      <alignment vertical="center"/>
    </xf>
    <xf numFmtId="169" fontId="11" fillId="4" borderId="56" applyAlignment="1" pivotButton="0" quotePrefix="0" xfId="2">
      <alignment vertical="center"/>
    </xf>
    <xf numFmtId="164" fontId="21" fillId="0" borderId="57" applyAlignment="1" pivotButton="0" quotePrefix="0" xfId="2">
      <alignment horizontal="center" vertical="center" shrinkToFit="1"/>
    </xf>
    <xf numFmtId="164" fontId="5" fillId="0" borderId="3" applyAlignment="1" pivotButton="0" quotePrefix="0" xfId="2">
      <alignment vertical="center"/>
    </xf>
    <xf numFmtId="164" fontId="5" fillId="0" borderId="59" applyAlignment="1" pivotButton="0" quotePrefix="0" xfId="2">
      <alignment vertical="center"/>
    </xf>
    <xf numFmtId="0" fontId="21" fillId="0" borderId="0" applyAlignment="1" pivotButton="0" quotePrefix="0" xfId="4">
      <alignment horizontal="right" vertical="center" shrinkToFit="1"/>
    </xf>
    <xf numFmtId="9" fontId="21" fillId="0" borderId="0" applyAlignment="1" pivotButton="0" quotePrefix="0" xfId="4">
      <alignment horizontal="right" vertical="center"/>
    </xf>
    <xf numFmtId="164" fontId="21" fillId="0" borderId="13" applyAlignment="1" pivotButton="0" quotePrefix="0" xfId="2">
      <alignment horizontal="right" vertical="center"/>
    </xf>
    <xf numFmtId="164" fontId="21" fillId="0" borderId="0" applyAlignment="1" pivotButton="0" quotePrefix="0" xfId="2">
      <alignment horizontal="right" vertical="center"/>
    </xf>
    <xf numFmtId="0" fontId="21" fillId="0" borderId="0" applyAlignment="1" pivotButton="0" quotePrefix="0" xfId="4">
      <alignment vertical="center"/>
    </xf>
    <xf numFmtId="164" fontId="11" fillId="6" borderId="63" applyAlignment="1" pivotButton="0" quotePrefix="0" xfId="2">
      <alignment vertical="center"/>
    </xf>
    <xf numFmtId="170" fontId="21" fillId="0" borderId="0" applyAlignment="1" pivotButton="0" quotePrefix="0" xfId="4">
      <alignment vertical="center"/>
    </xf>
    <xf numFmtId="164" fontId="21" fillId="0" borderId="0" applyAlignment="1" pivotButton="0" quotePrefix="0" xfId="2">
      <alignment vertical="center"/>
    </xf>
    <xf numFmtId="0" fontId="6" fillId="0" borderId="0" applyAlignment="1" pivotButton="0" quotePrefix="0" xfId="4">
      <alignment vertical="center"/>
    </xf>
    <xf numFmtId="0" fontId="21" fillId="0" borderId="0" applyAlignment="1" pivotButton="0" quotePrefix="0" xfId="4">
      <alignment horizontal="center" vertical="center"/>
    </xf>
    <xf numFmtId="0" fontId="21" fillId="0" borderId="0" applyAlignment="1" pivotButton="0" quotePrefix="0" xfId="4">
      <alignment horizontal="center" vertical="center"/>
    </xf>
    <xf numFmtId="0" fontId="21" fillId="0" borderId="0" applyAlignment="1" pivotButton="0" quotePrefix="0" xfId="4">
      <alignment vertical="center"/>
    </xf>
    <xf numFmtId="164" fontId="21" fillId="0" borderId="0" applyAlignment="1" pivotButton="0" quotePrefix="0" xfId="2">
      <alignment vertical="center"/>
    </xf>
    <xf numFmtId="0" fontId="21" fillId="0" borderId="5" applyAlignment="1" pivotButton="0" quotePrefix="0" xfId="4">
      <alignment horizontal="center" vertical="center" wrapText="1"/>
    </xf>
    <xf numFmtId="0" fontId="25" fillId="0" borderId="0" applyAlignment="1" pivotButton="0" quotePrefix="0" xfId="4">
      <alignment horizontal="left" vertical="center"/>
    </xf>
    <xf numFmtId="38" fontId="22" fillId="7" borderId="16" applyAlignment="1" pivotButton="0" quotePrefix="0" xfId="5">
      <alignment horizontal="center" vertical="center"/>
    </xf>
    <xf numFmtId="38" fontId="22" fillId="7" borderId="20" applyAlignment="1" pivotButton="0" quotePrefix="0" xfId="5">
      <alignment horizontal="center" vertical="center" wrapText="1"/>
    </xf>
    <xf numFmtId="38" fontId="22" fillId="7" borderId="20" applyAlignment="1" pivotButton="0" quotePrefix="0" xfId="5">
      <alignment horizontal="center" vertical="center"/>
    </xf>
    <xf numFmtId="164" fontId="22" fillId="7" borderId="20" applyAlignment="1" pivotButton="0" quotePrefix="0" xfId="2">
      <alignment horizontal="center" vertical="center"/>
    </xf>
    <xf numFmtId="38" fontId="22" fillId="7" borderId="21" applyAlignment="1" pivotButton="0" quotePrefix="0" xfId="5">
      <alignment horizontal="center" vertical="center"/>
    </xf>
    <xf numFmtId="164" fontId="5" fillId="5" borderId="47" applyAlignment="1" pivotButton="0" quotePrefix="0" xfId="2">
      <alignment horizontal="right" vertical="center"/>
    </xf>
    <xf numFmtId="0" fontId="24" fillId="6" borderId="60" applyAlignment="1" pivotButton="0" quotePrefix="0" xfId="4">
      <alignment horizontal="center" vertical="center"/>
    </xf>
    <xf numFmtId="0" fontId="24" fillId="6" borderId="61" applyAlignment="1" pivotButton="0" quotePrefix="0" xfId="4">
      <alignment horizontal="center" vertical="center"/>
    </xf>
    <xf numFmtId="0" fontId="24" fillId="6" borderId="62" applyAlignment="1" pivotButton="0" quotePrefix="0" xfId="4">
      <alignment horizontal="center" vertical="center"/>
    </xf>
    <xf numFmtId="0" fontId="9" fillId="0" borderId="64" applyAlignment="1" pivotButton="0" quotePrefix="0" xfId="4">
      <alignment horizontal="left" vertical="center" wrapText="1"/>
    </xf>
    <xf numFmtId="0" fontId="21" fillId="0" borderId="6" applyAlignment="1" pivotButton="0" quotePrefix="0" xfId="4">
      <alignment horizontal="left" vertical="center" wrapText="1"/>
    </xf>
    <xf numFmtId="0" fontId="21" fillId="0" borderId="7" applyAlignment="1" pivotButton="0" quotePrefix="0" xfId="4">
      <alignment horizontal="left" vertical="center" wrapText="1"/>
    </xf>
    <xf numFmtId="169" fontId="6" fillId="0" borderId="34" applyAlignment="1" pivotButton="0" quotePrefix="0" xfId="2">
      <alignment horizontal="center" vertical="center"/>
    </xf>
    <xf numFmtId="169" fontId="6" fillId="0" borderId="36" applyAlignment="1" pivotButton="0" quotePrefix="0" xfId="2">
      <alignment horizontal="center" vertical="center"/>
    </xf>
    <xf numFmtId="169" fontId="6" fillId="0" borderId="41" applyAlignment="1" pivotButton="0" quotePrefix="0" xfId="2">
      <alignment horizontal="center" vertical="center"/>
    </xf>
    <xf numFmtId="0" fontId="21" fillId="5" borderId="54" applyAlignment="1" pivotButton="0" quotePrefix="0" xfId="4">
      <alignment horizontal="center" vertical="center" shrinkToFit="1"/>
    </xf>
    <xf numFmtId="0" fontId="21" fillId="5" borderId="3" applyAlignment="1" pivotButton="0" quotePrefix="0" xfId="4">
      <alignment horizontal="center" vertical="center" shrinkToFit="1"/>
    </xf>
    <xf numFmtId="0" fontId="21" fillId="5" borderId="57" applyAlignment="1" pivotButton="0" quotePrefix="0" xfId="4">
      <alignment horizontal="center" vertical="center" shrinkToFit="1"/>
    </xf>
    <xf numFmtId="0" fontId="21" fillId="5" borderId="44" applyAlignment="1" pivotButton="0" quotePrefix="0" xfId="4">
      <alignment horizontal="center" vertical="center"/>
    </xf>
    <xf numFmtId="0" fontId="21" fillId="5" borderId="55" applyAlignment="1" pivotButton="0" quotePrefix="0" xfId="4">
      <alignment horizontal="center" vertical="center"/>
    </xf>
    <xf numFmtId="0" fontId="11" fillId="4" borderId="24" applyAlignment="1" pivotButton="0" quotePrefix="0" xfId="4">
      <alignment horizontal="left" vertical="center"/>
    </xf>
    <xf numFmtId="0" fontId="11" fillId="4" borderId="56" applyAlignment="1" pivotButton="0" quotePrefix="0" xfId="4">
      <alignment horizontal="left" vertical="center"/>
    </xf>
    <xf numFmtId="0" fontId="21" fillId="0" borderId="37" applyAlignment="1" pivotButton="0" quotePrefix="0" xfId="4">
      <alignment horizontal="left" vertical="center" wrapText="1"/>
    </xf>
    <xf numFmtId="0" fontId="21" fillId="0" borderId="58" applyAlignment="1" pivotButton="0" quotePrefix="0" xfId="4">
      <alignment horizontal="left" vertical="center" wrapText="1"/>
    </xf>
    <xf numFmtId="0" fontId="11" fillId="0" borderId="10" applyAlignment="1" pivotButton="0" quotePrefix="0" xfId="1">
      <alignment horizontal="distributed" vertical="center"/>
    </xf>
    <xf numFmtId="0" fontId="11" fillId="0" borderId="12" applyAlignment="1" pivotButton="0" quotePrefix="0" xfId="1">
      <alignment horizontal="distributed" vertical="center"/>
    </xf>
    <xf numFmtId="38" fontId="22" fillId="7" borderId="17" applyAlignment="1" pivotButton="0" quotePrefix="0" xfId="5">
      <alignment horizontal="center" vertical="center"/>
    </xf>
    <xf numFmtId="38" fontId="22" fillId="7" borderId="18" applyAlignment="1" pivotButton="0" quotePrefix="0" xfId="5">
      <alignment horizontal="center" vertical="center"/>
    </xf>
    <xf numFmtId="38" fontId="22" fillId="7" borderId="19" applyAlignment="1" pivotButton="0" quotePrefix="0" xfId="5">
      <alignment horizontal="center" vertical="center"/>
    </xf>
    <xf numFmtId="0" fontId="6" fillId="0" borderId="22" applyAlignment="1" pivotButton="0" quotePrefix="0" xfId="4">
      <alignment horizontal="center" vertical="center" wrapText="1"/>
    </xf>
    <xf numFmtId="0" fontId="6" fillId="0" borderId="29" applyAlignment="1" pivotButton="0" quotePrefix="0" xfId="4">
      <alignment horizontal="center" vertical="center" wrapText="1"/>
    </xf>
    <xf numFmtId="0" fontId="6" fillId="0" borderId="43" applyAlignment="1" pivotButton="0" quotePrefix="0" xfId="4">
      <alignment horizontal="center" vertical="center" wrapText="1"/>
    </xf>
    <xf numFmtId="0" fontId="6" fillId="0" borderId="24" applyAlignment="1" pivotButton="0" quotePrefix="0" xfId="6">
      <alignment horizontal="center" vertical="center"/>
    </xf>
    <xf numFmtId="0" fontId="6" fillId="0" borderId="25" applyAlignment="1" pivotButton="0" quotePrefix="0" xfId="6">
      <alignment horizontal="center" vertical="center"/>
    </xf>
    <xf numFmtId="0" fontId="6" fillId="0" borderId="31" applyAlignment="1" pivotButton="0" quotePrefix="0" xfId="6">
      <alignment horizontal="left" vertical="center"/>
    </xf>
    <xf numFmtId="0" fontId="6" fillId="0" borderId="32" applyAlignment="1" pivotButton="0" quotePrefix="0" xfId="6">
      <alignment horizontal="left" vertical="center"/>
    </xf>
    <xf numFmtId="0" fontId="6" fillId="0" borderId="31" applyAlignment="1" pivotButton="0" quotePrefix="0" xfId="6">
      <alignment horizontal="left" vertical="center" wrapText="1"/>
    </xf>
    <xf numFmtId="0" fontId="6" fillId="0" borderId="32" applyAlignment="1" pivotButton="0" quotePrefix="0" xfId="6">
      <alignment horizontal="left" vertical="center" wrapText="1"/>
    </xf>
    <xf numFmtId="49" fontId="6" fillId="0" borderId="37" applyAlignment="1" applyProtection="1" pivotButton="0" quotePrefix="1" xfId="7">
      <alignment horizontal="center" vertical="center" wrapText="1"/>
      <protection locked="0" hidden="0"/>
    </xf>
    <xf numFmtId="49" fontId="6" fillId="0" borderId="12" applyAlignment="1" applyProtection="1" pivotButton="0" quotePrefix="1" xfId="7">
      <alignment horizontal="center" vertical="center" wrapText="1"/>
      <protection locked="0" hidden="0"/>
    </xf>
    <xf numFmtId="49" fontId="6" fillId="0" borderId="38" applyAlignment="1" applyProtection="1" pivotButton="0" quotePrefix="1" xfId="7">
      <alignment horizontal="center" vertical="center" wrapText="1"/>
      <protection locked="0" hidden="0"/>
    </xf>
    <xf numFmtId="0" fontId="5" fillId="5" borderId="44" applyAlignment="1" pivotButton="0" quotePrefix="0" xfId="4">
      <alignment horizontal="center" vertical="center"/>
    </xf>
    <xf numFmtId="0" fontId="5" fillId="5" borderId="45" applyAlignment="1" pivotButton="0" quotePrefix="0" xfId="4">
      <alignment horizontal="center" vertical="center"/>
    </xf>
    <xf numFmtId="0" fontId="5" fillId="5" borderId="46" applyAlignment="1" pivotButton="0" quotePrefix="0" xfId="4">
      <alignment horizontal="center" vertical="center"/>
    </xf>
    <xf numFmtId="164" fontId="6" fillId="0" borderId="33" applyAlignment="1" pivotButton="0" quotePrefix="0" xfId="2">
      <alignment horizontal="center" vertical="center"/>
    </xf>
    <xf numFmtId="164" fontId="6" fillId="0" borderId="35" applyAlignment="1" pivotButton="0" quotePrefix="0" xfId="2">
      <alignment horizontal="center" vertical="center"/>
    </xf>
    <xf numFmtId="164" fontId="6" fillId="0" borderId="65" applyAlignment="1" pivotButton="0" quotePrefix="0" xfId="2">
      <alignment horizontal="center" vertical="center"/>
    </xf>
    <xf numFmtId="0" fontId="5" fillId="0" borderId="4" applyAlignment="1" pivotButton="0" quotePrefix="0" xfId="1">
      <alignment horizontal="right" wrapText="1"/>
    </xf>
    <xf numFmtId="0" fontId="7" fillId="3" borderId="5" applyAlignment="1" pivotButton="0" quotePrefix="0" xfId="1">
      <alignment horizontal="center" vertical="center"/>
    </xf>
    <xf numFmtId="0" fontId="7" fillId="3" borderId="6" applyAlignment="1" pivotButton="0" quotePrefix="0" xfId="1">
      <alignment horizontal="center" vertical="center"/>
    </xf>
    <xf numFmtId="0" fontId="7" fillId="3" borderId="7" applyAlignment="1" pivotButton="0" quotePrefix="0" xfId="1">
      <alignment horizontal="center" vertical="center"/>
    </xf>
    <xf numFmtId="0" fontId="11" fillId="0" borderId="8" applyAlignment="1" pivotButton="0" quotePrefix="0" xfId="1">
      <alignment horizontal="distributed" vertical="center"/>
    </xf>
    <xf numFmtId="0" fontId="28" fillId="8" borderId="2" applyAlignment="1" pivotButton="0" quotePrefix="0" xfId="0">
      <alignment horizontal="center" vertical="center"/>
    </xf>
    <xf numFmtId="0" fontId="30" fillId="0" borderId="0" applyAlignment="1" pivotButton="0" quotePrefix="0" xfId="0">
      <alignment vertical="center"/>
    </xf>
    <xf numFmtId="0" fontId="30" fillId="9" borderId="54" applyAlignment="1" pivotButton="0" quotePrefix="0" xfId="0">
      <alignment horizontal="center" vertical="center"/>
    </xf>
    <xf numFmtId="0" fontId="30" fillId="9" borderId="54" applyAlignment="1" pivotButton="0" quotePrefix="0" xfId="0">
      <alignment horizontal="left" vertical="center"/>
    </xf>
    <xf numFmtId="0" fontId="30" fillId="0" borderId="2" applyAlignment="1" pivotButton="0" quotePrefix="0" xfId="0">
      <alignment horizontal="center" vertical="center"/>
    </xf>
    <xf numFmtId="0" fontId="30" fillId="0" borderId="2" applyAlignment="1" pivotButton="0" quotePrefix="0" xfId="0">
      <alignment horizontal="left" vertical="center" wrapText="1"/>
    </xf>
    <xf numFmtId="0" fontId="30" fillId="10" borderId="2" applyAlignment="1" pivotButton="0" quotePrefix="0" xfId="0">
      <alignment horizontal="left" vertical="center" wrapText="1"/>
    </xf>
    <xf numFmtId="0" fontId="30" fillId="0" borderId="2" applyAlignment="1" pivotButton="0" quotePrefix="0" xfId="0">
      <alignment horizontal="center" vertical="center" wrapText="1"/>
    </xf>
    <xf numFmtId="0" fontId="31" fillId="0" borderId="0" applyAlignment="1" pivotButton="0" quotePrefix="0" xfId="0">
      <alignment vertical="center"/>
    </xf>
    <xf numFmtId="0" fontId="30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left" vertical="center"/>
    </xf>
    <xf numFmtId="164" fontId="21" fillId="0" borderId="0" applyAlignment="1" pivotButton="0" quotePrefix="0" xfId="2">
      <alignment vertical="center"/>
    </xf>
    <xf numFmtId="0" fontId="0" fillId="0" borderId="4" pivotButton="0" quotePrefix="0" xfId="0"/>
    <xf numFmtId="0" fontId="7" fillId="3" borderId="66" applyAlignment="1" pivotButton="0" quotePrefix="0" xfId="1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4" fontId="11" fillId="0" borderId="9" applyAlignment="1" pivotButton="0" quotePrefix="0" xfId="2">
      <alignment horizontal="left" vertical="center"/>
    </xf>
    <xf numFmtId="0" fontId="0" fillId="0" borderId="10" pivotButton="0" quotePrefix="0" xfId="0"/>
    <xf numFmtId="164" fontId="11" fillId="0" borderId="10" applyAlignment="1" pivotButton="0" quotePrefix="0" xfId="2">
      <alignment horizontal="left" vertical="center"/>
    </xf>
    <xf numFmtId="165" fontId="11" fillId="0" borderId="10" applyAlignment="1" pivotButton="0" quotePrefix="0" xfId="1">
      <alignment horizontal="left" vertical="center"/>
    </xf>
    <xf numFmtId="164" fontId="14" fillId="0" borderId="10" applyAlignment="1" pivotButton="0" quotePrefix="0" xfId="3">
      <alignment horizontal="left" vertical="center"/>
    </xf>
    <xf numFmtId="0" fontId="0" fillId="0" borderId="12" pivotButton="0" quotePrefix="0" xfId="0"/>
    <xf numFmtId="164" fontId="14" fillId="0" borderId="13" applyAlignment="1" pivotButton="0" quotePrefix="0" xfId="2">
      <alignment horizontal="left" vertical="center"/>
    </xf>
    <xf numFmtId="164" fontId="4" fillId="0" borderId="0" applyAlignment="1" pivotButton="0" quotePrefix="0" xfId="2">
      <alignment vertical="center"/>
    </xf>
    <xf numFmtId="166" fontId="17" fillId="0" borderId="0" applyAlignment="1" pivotButton="0" quotePrefix="0" xfId="5">
      <alignment vertical="center"/>
    </xf>
    <xf numFmtId="166" fontId="18" fillId="0" borderId="0" applyAlignment="1" pivotButton="0" quotePrefix="0" xfId="5">
      <alignment vertical="center"/>
    </xf>
    <xf numFmtId="164" fontId="19" fillId="0" borderId="0" applyAlignment="1" pivotButton="0" quotePrefix="0" xfId="2">
      <alignment vertical="center"/>
    </xf>
    <xf numFmtId="164" fontId="21" fillId="0" borderId="0" pivotButton="0" quotePrefix="0" xfId="2"/>
    <xf numFmtId="0" fontId="0" fillId="0" borderId="18" pivotButton="0" quotePrefix="0" xfId="0"/>
    <xf numFmtId="0" fontId="0" fillId="0" borderId="19" pivotButton="0" quotePrefix="0" xfId="0"/>
    <xf numFmtId="164" fontId="22" fillId="7" borderId="20" applyAlignment="1" pivotButton="0" quotePrefix="0" xfId="2">
      <alignment horizontal="center" vertical="center"/>
    </xf>
    <xf numFmtId="0" fontId="6" fillId="0" borderId="70" applyAlignment="1" pivotButton="0" quotePrefix="0" xfId="4">
      <alignment horizontal="center" vertical="center" wrapText="1"/>
    </xf>
    <xf numFmtId="0" fontId="6" fillId="0" borderId="71" applyAlignment="1" pivotButton="0" quotePrefix="0" xfId="6">
      <alignment horizontal="center" vertical="center"/>
    </xf>
    <xf numFmtId="0" fontId="0" fillId="0" borderId="25" pivotButton="0" quotePrefix="0" xfId="0"/>
    <xf numFmtId="167" fontId="6" fillId="0" borderId="26" applyAlignment="1" pivotButton="0" quotePrefix="0" xfId="2">
      <alignment horizontal="center" vertical="center"/>
    </xf>
    <xf numFmtId="164" fontId="6" fillId="0" borderId="27" applyAlignment="1" pivotButton="0" quotePrefix="0" xfId="2">
      <alignment horizontal="center" vertical="center"/>
    </xf>
    <xf numFmtId="164" fontId="6" fillId="0" borderId="28" applyAlignment="1" pivotButton="0" quotePrefix="0" xfId="2">
      <alignment horizontal="center" vertical="center"/>
    </xf>
    <xf numFmtId="0" fontId="0" fillId="0" borderId="29" pivotButton="0" quotePrefix="0" xfId="0"/>
    <xf numFmtId="0" fontId="6" fillId="0" borderId="73" applyAlignment="1" pivotButton="0" quotePrefix="0" xfId="6">
      <alignment horizontal="left" vertical="center"/>
    </xf>
    <xf numFmtId="0" fontId="0" fillId="0" borderId="32" pivotButton="0" quotePrefix="0" xfId="0"/>
    <xf numFmtId="168" fontId="6" fillId="0" borderId="26" applyAlignment="1" pivotButton="0" quotePrefix="0" xfId="2">
      <alignment horizontal="center" vertical="center"/>
    </xf>
    <xf numFmtId="3" fontId="6" fillId="0" borderId="27" applyAlignment="1" pivotButton="0" quotePrefix="0" xfId="2">
      <alignment horizontal="center" vertical="center"/>
    </xf>
    <xf numFmtId="3" fontId="6" fillId="0" borderId="80" applyAlignment="1" pivotButton="0" quotePrefix="0" xfId="2">
      <alignment horizontal="center" vertical="center"/>
    </xf>
    <xf numFmtId="0" fontId="0" fillId="0" borderId="35" pivotButton="0" quotePrefix="0" xfId="0"/>
    <xf numFmtId="0" fontId="6" fillId="0" borderId="73" applyAlignment="1" pivotButton="0" quotePrefix="0" xfId="6">
      <alignment horizontal="left" vertical="center" wrapText="1"/>
    </xf>
    <xf numFmtId="0" fontId="0" fillId="0" borderId="43" pivotButton="0" quotePrefix="0" xfId="0"/>
    <xf numFmtId="0" fontId="0" fillId="0" borderId="65" pivotButton="0" quotePrefix="0" xfId="0"/>
    <xf numFmtId="49" fontId="6" fillId="0" borderId="75" applyAlignment="1" applyProtection="1" pivotButton="0" quotePrefix="1" xfId="7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38" applyProtection="1" pivotButton="0" quotePrefix="0" xfId="0">
      <protection locked="0" hidden="0"/>
    </xf>
    <xf numFmtId="168" fontId="6" fillId="0" borderId="39" applyAlignment="1" pivotButton="0" quotePrefix="0" xfId="2">
      <alignment horizontal="center" vertical="center"/>
    </xf>
    <xf numFmtId="164" fontId="6" fillId="0" borderId="40" applyAlignment="1" pivotButton="0" quotePrefix="0" xfId="2">
      <alignment horizontal="center" vertical="center"/>
    </xf>
    <xf numFmtId="3" fontId="6" fillId="0" borderId="40" applyAlignment="1" pivotButton="0" quotePrefix="0" xfId="2">
      <alignment horizontal="center" vertical="center"/>
    </xf>
    <xf numFmtId="0" fontId="5" fillId="5" borderId="76" applyAlignment="1" pivotButton="0" quotePrefix="0" xfId="4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3" fontId="5" fillId="5" borderId="47" applyAlignment="1" pivotButton="0" quotePrefix="0" xfId="2">
      <alignment horizontal="right" vertical="center"/>
    </xf>
    <xf numFmtId="164" fontId="21" fillId="0" borderId="51" applyAlignment="1" pivotButton="0" quotePrefix="0" xfId="2">
      <alignment horizontal="right" vertical="center"/>
    </xf>
    <xf numFmtId="164" fontId="21" fillId="0" borderId="52" applyAlignment="1" pivotButton="0" quotePrefix="0" xfId="2">
      <alignment horizontal="right" vertical="center"/>
    </xf>
    <xf numFmtId="0" fontId="21" fillId="5" borderId="2" applyAlignment="1" pivotButton="0" quotePrefix="0" xfId="4">
      <alignment horizontal="center" vertical="center"/>
    </xf>
    <xf numFmtId="0" fontId="0" fillId="0" borderId="55" pivotButton="0" quotePrefix="0" xfId="0"/>
    <xf numFmtId="164" fontId="21" fillId="5" borderId="2" applyAlignment="1" pivotButton="0" quotePrefix="0" xfId="2">
      <alignment horizontal="center" vertical="center"/>
    </xf>
    <xf numFmtId="164" fontId="21" fillId="5" borderId="2" applyAlignment="1" pivotButton="0" quotePrefix="0" xfId="2">
      <alignment vertical="center"/>
    </xf>
    <xf numFmtId="164" fontId="21" fillId="0" borderId="49" applyAlignment="1" pivotButton="0" quotePrefix="0" xfId="2">
      <alignment horizontal="right" vertical="center"/>
    </xf>
    <xf numFmtId="0" fontId="0" fillId="0" borderId="3" pivotButton="0" quotePrefix="0" xfId="0"/>
    <xf numFmtId="0" fontId="11" fillId="4" borderId="23" applyAlignment="1" pivotButton="0" quotePrefix="0" xfId="4">
      <alignment horizontal="left" vertical="center"/>
    </xf>
    <xf numFmtId="0" fontId="0" fillId="0" borderId="56" pivotButton="0" quotePrefix="0" xfId="0"/>
    <xf numFmtId="164" fontId="11" fillId="4" borderId="23" applyAlignment="1" pivotButton="0" quotePrefix="0" xfId="2">
      <alignment horizontal="center" vertical="center" shrinkToFit="1"/>
    </xf>
    <xf numFmtId="164" fontId="11" fillId="4" borderId="23" applyAlignment="1" pivotButton="0" quotePrefix="0" xfId="2">
      <alignment vertical="center"/>
    </xf>
    <xf numFmtId="169" fontId="11" fillId="4" borderId="56" applyAlignment="1" pivotButton="0" quotePrefix="0" xfId="2">
      <alignment vertical="center"/>
    </xf>
    <xf numFmtId="0" fontId="0" fillId="0" borderId="57" pivotButton="0" quotePrefix="0" xfId="0"/>
    <xf numFmtId="0" fontId="21" fillId="0" borderId="83" applyAlignment="1" pivotButton="0" quotePrefix="0" xfId="4">
      <alignment horizontal="left" vertical="center" wrapText="1"/>
    </xf>
    <xf numFmtId="0" fontId="0" fillId="0" borderId="58" pivotButton="0" quotePrefix="0" xfId="0"/>
    <xf numFmtId="164" fontId="21" fillId="0" borderId="57" applyAlignment="1" pivotButton="0" quotePrefix="0" xfId="2">
      <alignment horizontal="center" vertical="center" shrinkToFit="1"/>
    </xf>
    <xf numFmtId="164" fontId="5" fillId="0" borderId="3" applyAlignment="1" pivotButton="0" quotePrefix="0" xfId="2">
      <alignment vertical="center"/>
    </xf>
    <xf numFmtId="164" fontId="5" fillId="0" borderId="59" applyAlignment="1" pivotButton="0" quotePrefix="0" xfId="2">
      <alignment vertical="center"/>
    </xf>
    <xf numFmtId="164" fontId="21" fillId="0" borderId="13" applyAlignment="1" pivotButton="0" quotePrefix="0" xfId="2">
      <alignment horizontal="right" vertical="center"/>
    </xf>
    <xf numFmtId="164" fontId="21" fillId="0" borderId="0" applyAlignment="1" pivotButton="0" quotePrefix="0" xfId="2">
      <alignment horizontal="right" vertical="center"/>
    </xf>
    <xf numFmtId="0" fontId="24" fillId="6" borderId="78" applyAlignment="1" pivotButton="0" quotePrefix="0" xfId="4">
      <alignment horizontal="center" vertical="center"/>
    </xf>
    <xf numFmtId="0" fontId="0" fillId="0" borderId="61" pivotButton="0" quotePrefix="0" xfId="0"/>
    <xf numFmtId="0" fontId="0" fillId="0" borderId="62" pivotButton="0" quotePrefix="0" xfId="0"/>
    <xf numFmtId="3" fontId="11" fillId="6" borderId="63" applyAlignment="1" pivotButton="0" quotePrefix="0" xfId="2">
      <alignment vertical="center"/>
    </xf>
    <xf numFmtId="170" fontId="21" fillId="0" borderId="0" applyAlignment="1" pivotButton="0" quotePrefix="0" xfId="4">
      <alignment vertical="center"/>
    </xf>
    <xf numFmtId="0" fontId="9" fillId="0" borderId="79" applyAlignment="1" pivotButton="0" quotePrefix="0" xfId="4">
      <alignment horizontal="left" vertical="center" wrapText="1"/>
    </xf>
    <xf numFmtId="0" fontId="0" fillId="0" borderId="0" pivotButton="0" quotePrefix="0" xfId="0"/>
  </cellXfs>
  <cellStyles count="11">
    <cellStyle name="표준" xfId="0" builtinId="0"/>
    <cellStyle name="표준_한국CA-항만터미널_0420_M1500외" xfId="1"/>
    <cellStyle name="쉼표 [0] 2" xfId="2"/>
    <cellStyle name="하이퍼링크 2" xfId="3"/>
    <cellStyle name="=C:\WINNT\SYSTEM32\COMMAND.COM" xfId="4"/>
    <cellStyle name="스타일 1" xfId="5"/>
    <cellStyle name="표준_견적서(E)" xfId="6"/>
    <cellStyle name="표준_철도기술공사_EKP07_070206" xfId="7"/>
    <cellStyle name="백분율 2" xfId="8"/>
    <cellStyle name="쉼표 [0] 2 3" xfId="9"/>
    <cellStyle name="쉼표 [0] 2 2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externalLink" Target="/xl/externalLinks/externalLink2.xml" Id="rId5" /><Relationship Type="http://schemas.openxmlformats.org/officeDocument/2006/relationships/externalLink" Target="/xl/externalLinks/externalLink3.xml" Id="rId6" /><Relationship Type="http://schemas.openxmlformats.org/officeDocument/2006/relationships/externalLink" Target="/xl/externalLinks/externalLink4.xml" Id="rId7" /><Relationship Type="http://schemas.openxmlformats.org/officeDocument/2006/relationships/externalLink" Target="/xl/externalLinks/externalLink5.xml" Id="rId8" /><Relationship Type="http://schemas.openxmlformats.org/officeDocument/2006/relationships/externalLink" Target="/xl/externalLinks/externalLink6.xml" Id="rId9" /><Relationship Type="http://schemas.openxmlformats.org/officeDocument/2006/relationships/externalLink" Target="/xl/externalLinks/externalLink7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원성</author>
  </authors>
  <commentList>
    <comment ref="J11" authorId="0" shapeId="0">
      <text>
        <t xml:space="preserve">별도 : 0
포함 : 1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8</col>
      <colOff>19807</colOff>
      <row>2</row>
      <rowOff>2657</rowOff>
    </from>
    <to>
      <col>8</col>
      <colOff>621527</colOff>
      <row>4</row>
      <rowOff>79608</rowOff>
    </to>
    <pic>
      <nvPicPr>
        <cNvPr id="2" name="Picture 6" descr="가온아이_인감2"/>
        <cNvPicPr>
          <a:picLocks noChangeAspect="1" noChangeArrowheads="1"/>
        </cNvPicPr>
      </nvPicPr>
      <blipFill>
        <a:blip r:embed="rId1">
          <clrChange>
            <clrFrom/>
            <clrTo/>
          </clrChange>
          <duotone/>
          <lum bright="3000" contrast="27000"/>
        </a:blip>
        <a:srcRect l="4437" t="4411" r="6114" b="6569"/>
        <a:stretch>
          <a:fillRect/>
        </a:stretch>
      </blipFill>
      <spPr bwMode="auto">
        <a:xfrm>
          <a:off x="6862567" y="863717"/>
          <a:ext cx="601720" cy="579871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>
    <from>
      <col>1</col>
      <colOff>76200</colOff>
      <row>0</row>
      <rowOff>38100</rowOff>
    </from>
    <to>
      <col>2</col>
      <colOff>472440</colOff>
      <row>0</row>
      <rowOff>403860</rowOff>
    </to>
    <pic>
      <nvPicPr>
        <cNvPr id="3" name="Picture 7" descr="Logo041021033111"/>
        <cNvPicPr>
          <a:picLocks noChangeAspect="1" noChangeArrowheads="1"/>
        </cNvPicPr>
      </nvPicPr>
      <blipFill>
        <a:blip r:embed="rId2"/>
        <a:srcRect l="10870" t="6198" r="11646" b="12672"/>
        <a:stretch>
          <a:fillRect/>
        </a:stretch>
      </blipFill>
      <spPr bwMode="auto">
        <a:xfrm>
          <a:off x="365760" y="38100"/>
          <a:ext cx="838200" cy="36576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microsoft.com/office/2006/relationships/xlExternalLinkPath/xlStartup" Target="222.103.66.135/swdigital/&#54616;&#51088;/&#44204;&#51201;/&#54805;/2002/&#49457;&#44305;&#51204;&#51088;/BMAIL/INBOX/HSOH/TEMP/IPG0696F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218.158.2.6/bl/&#54616;&#51088;/&#44204;&#51201;/&#54805;/2002/&#49457;&#44305;&#51204;&#51088;/BMAIL/INBOX/HSOH/TEMP/IPG0696F.XLS" TargetMode="External" Id="rId1" /></Relationships>
</file>

<file path=xl/externalLinks/_rels/externalLink3.xml.rels><Relationships xmlns="http://schemas.openxmlformats.org/package/2006/relationships"><Relationship Type="http://schemas.microsoft.com/office/2006/relationships/xlExternalLinkPath/xlStartup" Target="222.103.66.135/swdigital/&#54616;&#51088;/&#45236;&#47564;/&#54805;&#44204;&#51201;/2002/&#49457;&#44305;&#51204;&#51088;/BMAIL/INBOX/HSOH/TEMP/IPG0696F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218.158.2.6/bl/&#54616;&#51088;/&#45236;&#47564;/&#54805;&#44204;&#51201;/2002/&#49457;&#44305;&#51204;&#51088;/BMAIL/INBOX/HSOH/TEMP/IPG0696F.XLS" TargetMode="External" Id="rId1" /></Relationships>
</file>

<file path=xl/externalLinks/_rels/externalLink5.xml.rels><Relationships xmlns="http://schemas.openxmlformats.org/package/2006/relationships"><Relationship Type="http://schemas.microsoft.com/office/2006/relationships/xlExternalLinkPath/xlStartup" Target="222.103.66.135/swdigital/&#54616;&#51088;/&#44204;&#51201;/&#54805;/2002/&#49457;&#44305;&#51204;&#51088;/WINDOWS/TEMP/ARC95PRC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/218.158.2.6/bl/&#54616;&#51088;/&#44204;&#51201;/&#54805;/2002/&#49457;&#44305;&#51204;&#51088;/WINDOWS/TEMP/ARC95PRC.XLS" TargetMode="External" Id="rId1" /></Relationships>
</file>

<file path=xl/externalLinks/_rels/externalLink7.xml.rels><Relationships xmlns="http://schemas.openxmlformats.org/package/2006/relationships"><Relationship Type="http://schemas.microsoft.com/office/2006/relationships/xlExternalLinkPath/xlStartup" Target="WWW/&#48120;&#49892;&#51060;&#51088;&#47308;/&#53685;&#54633;&#51088;&#47308;&#49892;/&#54617;&#45236;&#47581;-&#45824;&#44396;&#49884;/&#44204;&#51201;&#49436;&#47784;&#51020;/&#44204;&#51201;&#49436;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upplement2"/>
    </sheetNames>
    <sheetDataSet>
      <sheetData sheetId="0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upplement2"/>
    </sheetNames>
    <sheetDataSet>
      <sheetData sheetId="0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Supplement2"/>
    </sheetNames>
    <sheetDataSet>
      <sheetData sheetId="0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Supplement2"/>
    </sheetNames>
    <sheetDataSet>
      <sheetData sheetId="0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Upgrades pricing"/>
      <sheetName val="2.1 Reg Part Numbers"/>
      <sheetName val="2.2 Reg Part Numbers"/>
      <sheetName val="2.3 Reg Part Numbers"/>
      <sheetName val="2.1  pricing"/>
      <sheetName val="2.2  pricing"/>
      <sheetName val="2.3  pricing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Upgrades pricing"/>
    </sheetNames>
    <sheetDataSet>
      <sheetData sheetId="0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foxz"/>
      <sheetName val="기준단가표"/>
      <sheetName val="방촌초"/>
      <sheetName val="범어초"/>
      <sheetName val="동신초"/>
      <sheetName val="율하초"/>
      <sheetName val="노변초"/>
      <sheetName val="안일초"/>
      <sheetName val="지묘초"/>
      <sheetName val="해안초"/>
      <sheetName val="범물초"/>
      <sheetName val="동원초"/>
      <sheetName val="입석초"/>
      <sheetName val="두산초"/>
      <sheetName val="고산초"/>
      <sheetName val="효목초"/>
      <sheetName val="욱수초"/>
      <sheetName val="수성중"/>
      <sheetName val="덕화여중"/>
      <sheetName val="대구동중"/>
      <sheetName val="동도여중"/>
      <sheetName val="시지여중"/>
      <sheetName val="영신중"/>
      <sheetName val="오성중"/>
      <sheetName val="성명여중"/>
      <sheetName val="중앙중"/>
      <sheetName val="대명여중"/>
      <sheetName val="Sheet2"/>
      <sheetName val="Sheet3"/>
      <sheetName val="Sheet25"/>
      <sheetName val="Sheet1"/>
      <sheetName val="(실사조정)총괄"/>
    </sheetNames>
    <sheetDataSet>
      <sheetData sheetId="0"/>
      <sheetData sheetId="1" refreshError="1">
        <row r="3">
          <cell r="A3">
            <v>1</v>
          </cell>
          <cell r="B3" t="str">
            <v xml:space="preserve">학내망 서버 </v>
          </cell>
          <cell r="C3" t="str">
            <v xml:space="preserve"> HP Netserver LC 3 </v>
          </cell>
          <cell r="D3">
            <v>1</v>
          </cell>
          <cell r="E3" t="str">
            <v>EA</v>
          </cell>
          <cell r="F3">
            <v>9800000</v>
          </cell>
        </row>
        <row r="4">
          <cell r="A4">
            <v>2</v>
          </cell>
          <cell r="B4" t="str">
            <v>Switch 4000M</v>
          </cell>
          <cell r="C4" t="str">
            <v xml:space="preserve"> 40 Port</v>
          </cell>
          <cell r="D4">
            <v>1</v>
          </cell>
          <cell r="E4" t="str">
            <v>EA</v>
          </cell>
          <cell r="F4">
            <v>5770000</v>
          </cell>
        </row>
        <row r="5">
          <cell r="A5">
            <v>3</v>
          </cell>
          <cell r="B5" t="str">
            <v>Switch 4000M (Module)</v>
          </cell>
          <cell r="C5" t="str">
            <v xml:space="preserve"> 8 Port</v>
          </cell>
          <cell r="D5">
            <v>1</v>
          </cell>
          <cell r="E5" t="str">
            <v>EA</v>
          </cell>
          <cell r="F5">
            <v>960000</v>
          </cell>
        </row>
        <row r="6">
          <cell r="A6">
            <v>4</v>
          </cell>
          <cell r="B6" t="str">
            <v>ROUTER</v>
          </cell>
          <cell r="C6" t="str">
            <v xml:space="preserve"> 2E/2S Dram 8M, Flash 8M</v>
          </cell>
          <cell r="D6">
            <v>1</v>
          </cell>
          <cell r="E6" t="str">
            <v>EA</v>
          </cell>
          <cell r="F6">
            <v>3200000</v>
          </cell>
          <cell r="G6" t="str">
            <v>중.고병설</v>
          </cell>
        </row>
        <row r="7">
          <cell r="A7">
            <v>5</v>
          </cell>
          <cell r="B7" t="str">
            <v>ROUTER</v>
          </cell>
          <cell r="C7" t="str">
            <v xml:space="preserve"> 1E/2S Dram 4M, Flash 4M</v>
          </cell>
          <cell r="D7">
            <v>1</v>
          </cell>
          <cell r="E7" t="str">
            <v>EA</v>
          </cell>
          <cell r="F7">
            <v>1350000</v>
          </cell>
          <cell r="G7" t="str">
            <v>중.고단위별</v>
          </cell>
        </row>
        <row r="8">
          <cell r="A8">
            <v>6</v>
          </cell>
          <cell r="B8" t="str">
            <v>CSU</v>
          </cell>
          <cell r="C8" t="str">
            <v xml:space="preserve"> 56K ~ T1, E1 지원</v>
          </cell>
          <cell r="D8">
            <v>1</v>
          </cell>
          <cell r="E8" t="str">
            <v>EA</v>
          </cell>
          <cell r="F8">
            <v>930000</v>
          </cell>
          <cell r="G8" t="str">
            <v>중.고병설</v>
          </cell>
        </row>
        <row r="9">
          <cell r="A9">
            <v>7</v>
          </cell>
          <cell r="B9" t="str">
            <v>DSU</v>
          </cell>
          <cell r="C9" t="str">
            <v xml:space="preserve"> 56K ~ 64K 지원</v>
          </cell>
          <cell r="D9">
            <v>1</v>
          </cell>
          <cell r="E9" t="str">
            <v>EA</v>
          </cell>
          <cell r="F9">
            <v>400000</v>
          </cell>
          <cell r="G9" t="str">
            <v>중.고단위별</v>
          </cell>
        </row>
        <row r="10">
          <cell r="A10">
            <v>8</v>
          </cell>
          <cell r="B10" t="str">
            <v>Lan Card</v>
          </cell>
          <cell r="C10" t="str">
            <v xml:space="preserve"> 10/100 PCI </v>
          </cell>
          <cell r="D10">
            <v>1</v>
          </cell>
          <cell r="E10" t="str">
            <v>EA</v>
          </cell>
          <cell r="F10">
            <v>44000</v>
          </cell>
        </row>
        <row r="11">
          <cell r="A11">
            <v>9</v>
          </cell>
          <cell r="B11" t="str">
            <v>UPS</v>
          </cell>
          <cell r="C11" t="str">
            <v xml:space="preserve"> 1KW</v>
          </cell>
          <cell r="D11">
            <v>1</v>
          </cell>
          <cell r="E11" t="str">
            <v>EA</v>
          </cell>
          <cell r="F11">
            <v>890000</v>
          </cell>
        </row>
        <row r="12">
          <cell r="A12">
            <v>10</v>
          </cell>
          <cell r="B12" t="str">
            <v>Proxy Server (S/W)</v>
          </cell>
          <cell r="C12" t="str">
            <v xml:space="preserve"> IP Generation</v>
          </cell>
          <cell r="D12">
            <v>1</v>
          </cell>
          <cell r="E12" t="str">
            <v>Copy</v>
          </cell>
          <cell r="F12">
            <v>770000</v>
          </cell>
        </row>
        <row r="13">
          <cell r="A13">
            <v>11</v>
          </cell>
          <cell r="B13" t="str">
            <v>Rack</v>
          </cell>
          <cell r="C13" t="str">
            <v xml:space="preserve"> 19"</v>
          </cell>
          <cell r="D13">
            <v>1</v>
          </cell>
          <cell r="E13" t="str">
            <v>EA</v>
          </cell>
          <cell r="F13">
            <v>600000</v>
          </cell>
        </row>
        <row r="14">
          <cell r="A14">
            <v>12</v>
          </cell>
          <cell r="B14" t="str">
            <v>Patch Pannel</v>
          </cell>
          <cell r="C14" t="str">
            <v xml:space="preserve"> 24 Node</v>
          </cell>
          <cell r="D14">
            <v>1</v>
          </cell>
          <cell r="E14" t="str">
            <v>EA</v>
          </cell>
          <cell r="F14">
            <v>110000</v>
          </cell>
        </row>
        <row r="15">
          <cell r="A15">
            <v>13</v>
          </cell>
          <cell r="B15" t="str">
            <v>UTP Cable</v>
          </cell>
          <cell r="C15" t="str">
            <v xml:space="preserve"> Cat'5</v>
          </cell>
          <cell r="D15">
            <v>1</v>
          </cell>
          <cell r="E15" t="str">
            <v>M</v>
          </cell>
          <cell r="F15">
            <v>250</v>
          </cell>
        </row>
        <row r="16">
          <cell r="A16">
            <v>14</v>
          </cell>
          <cell r="B16" t="str">
            <v>Outlet</v>
          </cell>
          <cell r="C16" t="str">
            <v xml:space="preserve"> 2 Port</v>
          </cell>
          <cell r="D16">
            <v>1</v>
          </cell>
          <cell r="E16" t="str">
            <v>EA</v>
          </cell>
          <cell r="F16">
            <v>9000</v>
          </cell>
        </row>
        <row r="17">
          <cell r="A17">
            <v>15</v>
          </cell>
          <cell r="B17" t="str">
            <v>배관, 잡자재</v>
          </cell>
          <cell r="C17" t="str">
            <v xml:space="preserve"> 1 Point( 2 Node)</v>
          </cell>
          <cell r="D17">
            <v>1</v>
          </cell>
          <cell r="E17" t="str">
            <v>식</v>
          </cell>
          <cell r="F17">
            <v>17000</v>
          </cell>
        </row>
        <row r="18">
          <cell r="A18">
            <v>16</v>
          </cell>
          <cell r="B18" t="str">
            <v>인건비</v>
          </cell>
          <cell r="C18" t="str">
            <v xml:space="preserve"> 1 Point( 2 Node)</v>
          </cell>
          <cell r="D18">
            <v>1</v>
          </cell>
          <cell r="E18" t="str">
            <v>식</v>
          </cell>
          <cell r="F18">
            <v>40000</v>
          </cell>
        </row>
        <row r="19">
          <cell r="A19">
            <v>17</v>
          </cell>
          <cell r="B19" t="str">
            <v>F/O Cable</v>
          </cell>
          <cell r="C19" t="str">
            <v xml:space="preserve"> 4 Core</v>
          </cell>
          <cell r="D19">
            <v>1</v>
          </cell>
          <cell r="E19" t="str">
            <v>M</v>
          </cell>
          <cell r="F19">
            <v>3520</v>
          </cell>
        </row>
        <row r="20">
          <cell r="A20">
            <v>18</v>
          </cell>
          <cell r="B20" t="str">
            <v>ST Connector</v>
          </cell>
          <cell r="C20" t="str">
            <v xml:space="preserve"> 4 Core</v>
          </cell>
          <cell r="D20">
            <v>1</v>
          </cell>
          <cell r="E20" t="str">
            <v>EA</v>
          </cell>
          <cell r="F20">
            <v>15000</v>
          </cell>
        </row>
        <row r="21">
          <cell r="A21">
            <v>19</v>
          </cell>
          <cell r="B21" t="str">
            <v>FDF</v>
          </cell>
          <cell r="C21" t="str">
            <v xml:space="preserve"> 4 Core</v>
          </cell>
          <cell r="D21">
            <v>1</v>
          </cell>
          <cell r="E21" t="str">
            <v>EA</v>
          </cell>
          <cell r="F21">
            <v>300000</v>
          </cell>
        </row>
        <row r="22">
          <cell r="A22">
            <v>20</v>
          </cell>
          <cell r="B22" t="str">
            <v>F/O Patch Cord</v>
          </cell>
          <cell r="C22" t="str">
            <v xml:space="preserve"> 4 Core</v>
          </cell>
          <cell r="D22">
            <v>1</v>
          </cell>
          <cell r="E22" t="str">
            <v>EA</v>
          </cell>
          <cell r="F22">
            <v>45000</v>
          </cell>
        </row>
        <row r="23">
          <cell r="A23">
            <v>21</v>
          </cell>
          <cell r="B23" t="str">
            <v>F/O Tranceiver</v>
          </cell>
          <cell r="C23" t="str">
            <v xml:space="preserve"> 4 Core</v>
          </cell>
          <cell r="D23">
            <v>1</v>
          </cell>
          <cell r="E23" t="str">
            <v>EA</v>
          </cell>
          <cell r="F23">
            <v>700000</v>
          </cell>
        </row>
        <row r="24">
          <cell r="A24">
            <v>22</v>
          </cell>
          <cell r="B24" t="str">
            <v>F/O 설치인건비</v>
          </cell>
          <cell r="C24" t="str">
            <v xml:space="preserve"> 4 Core</v>
          </cell>
          <cell r="D24">
            <v>1</v>
          </cell>
          <cell r="E24" t="str">
            <v>측</v>
          </cell>
          <cell r="F24">
            <v>200000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lisobking@kaoni.com" TargetMode="External" Id="rId1" /><Relationship Type="http://schemas.openxmlformats.org/officeDocument/2006/relationships/drawing" Target="/xl/drawings/drawing1.xm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39"/>
  <sheetViews>
    <sheetView showGridLines="0" tabSelected="1" zoomScale="115" zoomScaleNormal="115" zoomScaleSheetLayoutView="100" workbookViewId="0">
      <selection activeCell="J2" sqref="J2"/>
    </sheetView>
  </sheetViews>
  <sheetFormatPr baseColWidth="8" defaultColWidth="11.19921875" defaultRowHeight="15.6"/>
  <cols>
    <col width="3.796875" customWidth="1" style="81" min="1" max="1"/>
    <col width="5.796875" customWidth="1" style="80" min="2" max="2"/>
    <col width="8.796875" customWidth="1" style="80" min="3" max="3"/>
    <col width="26" customWidth="1" style="81" min="4" max="4"/>
    <col width="12.5" customWidth="1" style="81" min="5" max="5"/>
    <col width="7.296875" customWidth="1" style="81" min="6" max="6"/>
    <col width="13.296875" customWidth="1" style="148" min="7" max="7"/>
    <col width="12.296875" customWidth="1" style="148" min="8" max="8"/>
    <col width="15.5" customWidth="1" style="148" min="9" max="9"/>
    <col width="11.296875" bestFit="1" customWidth="1" style="81" min="10" max="10"/>
    <col width="11.19921875" customWidth="1" style="81" min="11" max="11"/>
    <col width="11.5" bestFit="1" customWidth="1" style="81" min="12" max="12"/>
    <col width="11.296875" bestFit="1" customWidth="1" style="81" min="13" max="13"/>
    <col width="11.19921875" customWidth="1" style="78" min="14" max="18"/>
    <col width="11.19921875" customWidth="1" style="81" min="19" max="256"/>
    <col width="3.796875" customWidth="1" style="81" min="257" max="257"/>
    <col width="5.796875" customWidth="1" style="81" min="258" max="258"/>
    <col width="8.796875" customWidth="1" style="81" min="259" max="259"/>
    <col width="26" customWidth="1" style="81" min="260" max="260"/>
    <col width="12.5" customWidth="1" style="81" min="261" max="261"/>
    <col width="7.296875" customWidth="1" style="81" min="262" max="262"/>
    <col width="13.296875" customWidth="1" style="81" min="263" max="263"/>
    <col width="12.296875" customWidth="1" style="81" min="264" max="264"/>
    <col width="15.5" customWidth="1" style="81" min="265" max="265"/>
    <col width="11.296875" bestFit="1" customWidth="1" style="81" min="266" max="266"/>
    <col width="11.19921875" customWidth="1" style="81" min="267" max="267"/>
    <col width="11.5" bestFit="1" customWidth="1" style="81" min="268" max="268"/>
    <col width="11.296875" bestFit="1" customWidth="1" style="81" min="269" max="269"/>
    <col width="11.19921875" customWidth="1" style="81" min="270" max="512"/>
    <col width="3.796875" customWidth="1" style="81" min="513" max="513"/>
    <col width="5.796875" customWidth="1" style="81" min="514" max="514"/>
    <col width="8.796875" customWidth="1" style="81" min="515" max="515"/>
    <col width="26" customWidth="1" style="81" min="516" max="516"/>
    <col width="12.5" customWidth="1" style="81" min="517" max="517"/>
    <col width="7.296875" customWidth="1" style="81" min="518" max="518"/>
    <col width="13.296875" customWidth="1" style="81" min="519" max="519"/>
    <col width="12.296875" customWidth="1" style="81" min="520" max="520"/>
    <col width="15.5" customWidth="1" style="81" min="521" max="521"/>
    <col width="11.296875" bestFit="1" customWidth="1" style="81" min="522" max="522"/>
    <col width="11.19921875" customWidth="1" style="81" min="523" max="523"/>
    <col width="11.5" bestFit="1" customWidth="1" style="81" min="524" max="524"/>
    <col width="11.296875" bestFit="1" customWidth="1" style="81" min="525" max="525"/>
    <col width="11.19921875" customWidth="1" style="81" min="526" max="768"/>
    <col width="3.796875" customWidth="1" style="81" min="769" max="769"/>
    <col width="5.796875" customWidth="1" style="81" min="770" max="770"/>
    <col width="8.796875" customWidth="1" style="81" min="771" max="771"/>
    <col width="26" customWidth="1" style="81" min="772" max="772"/>
    <col width="12.5" customWidth="1" style="81" min="773" max="773"/>
    <col width="7.296875" customWidth="1" style="81" min="774" max="774"/>
    <col width="13.296875" customWidth="1" style="81" min="775" max="775"/>
    <col width="12.296875" customWidth="1" style="81" min="776" max="776"/>
    <col width="15.5" customWidth="1" style="81" min="777" max="777"/>
    <col width="11.296875" bestFit="1" customWidth="1" style="81" min="778" max="778"/>
    <col width="11.19921875" customWidth="1" style="81" min="779" max="779"/>
    <col width="11.5" bestFit="1" customWidth="1" style="81" min="780" max="780"/>
    <col width="11.296875" bestFit="1" customWidth="1" style="81" min="781" max="781"/>
    <col width="11.19921875" customWidth="1" style="81" min="782" max="1024"/>
    <col width="3.796875" customWidth="1" style="81" min="1025" max="1025"/>
    <col width="5.796875" customWidth="1" style="81" min="1026" max="1026"/>
    <col width="8.796875" customWidth="1" style="81" min="1027" max="1027"/>
    <col width="26" customWidth="1" style="81" min="1028" max="1028"/>
    <col width="12.5" customWidth="1" style="81" min="1029" max="1029"/>
    <col width="7.296875" customWidth="1" style="81" min="1030" max="1030"/>
    <col width="13.296875" customWidth="1" style="81" min="1031" max="1031"/>
    <col width="12.296875" customWidth="1" style="81" min="1032" max="1032"/>
    <col width="15.5" customWidth="1" style="81" min="1033" max="1033"/>
    <col width="11.296875" bestFit="1" customWidth="1" style="81" min="1034" max="1034"/>
    <col width="11.19921875" customWidth="1" style="81" min="1035" max="1035"/>
    <col width="11.5" bestFit="1" customWidth="1" style="81" min="1036" max="1036"/>
    <col width="11.296875" bestFit="1" customWidth="1" style="81" min="1037" max="1037"/>
    <col width="11.19921875" customWidth="1" style="81" min="1038" max="1280"/>
    <col width="3.796875" customWidth="1" style="81" min="1281" max="1281"/>
    <col width="5.796875" customWidth="1" style="81" min="1282" max="1282"/>
    <col width="8.796875" customWidth="1" style="81" min="1283" max="1283"/>
    <col width="26" customWidth="1" style="81" min="1284" max="1284"/>
    <col width="12.5" customWidth="1" style="81" min="1285" max="1285"/>
    <col width="7.296875" customWidth="1" style="81" min="1286" max="1286"/>
    <col width="13.296875" customWidth="1" style="81" min="1287" max="1287"/>
    <col width="12.296875" customWidth="1" style="81" min="1288" max="1288"/>
    <col width="15.5" customWidth="1" style="81" min="1289" max="1289"/>
    <col width="11.296875" bestFit="1" customWidth="1" style="81" min="1290" max="1290"/>
    <col width="11.19921875" customWidth="1" style="81" min="1291" max="1291"/>
    <col width="11.5" bestFit="1" customWidth="1" style="81" min="1292" max="1292"/>
    <col width="11.296875" bestFit="1" customWidth="1" style="81" min="1293" max="1293"/>
    <col width="11.19921875" customWidth="1" style="81" min="1294" max="1536"/>
    <col width="3.796875" customWidth="1" style="81" min="1537" max="1537"/>
    <col width="5.796875" customWidth="1" style="81" min="1538" max="1538"/>
    <col width="8.796875" customWidth="1" style="81" min="1539" max="1539"/>
    <col width="26" customWidth="1" style="81" min="1540" max="1540"/>
    <col width="12.5" customWidth="1" style="81" min="1541" max="1541"/>
    <col width="7.296875" customWidth="1" style="81" min="1542" max="1542"/>
    <col width="13.296875" customWidth="1" style="81" min="1543" max="1543"/>
    <col width="12.296875" customWidth="1" style="81" min="1544" max="1544"/>
    <col width="15.5" customWidth="1" style="81" min="1545" max="1545"/>
    <col width="11.296875" bestFit="1" customWidth="1" style="81" min="1546" max="1546"/>
    <col width="11.19921875" customWidth="1" style="81" min="1547" max="1547"/>
    <col width="11.5" bestFit="1" customWidth="1" style="81" min="1548" max="1548"/>
    <col width="11.296875" bestFit="1" customWidth="1" style="81" min="1549" max="1549"/>
    <col width="11.19921875" customWidth="1" style="81" min="1550" max="1792"/>
    <col width="3.796875" customWidth="1" style="81" min="1793" max="1793"/>
    <col width="5.796875" customWidth="1" style="81" min="1794" max="1794"/>
    <col width="8.796875" customWidth="1" style="81" min="1795" max="1795"/>
    <col width="26" customWidth="1" style="81" min="1796" max="1796"/>
    <col width="12.5" customWidth="1" style="81" min="1797" max="1797"/>
    <col width="7.296875" customWidth="1" style="81" min="1798" max="1798"/>
    <col width="13.296875" customWidth="1" style="81" min="1799" max="1799"/>
    <col width="12.296875" customWidth="1" style="81" min="1800" max="1800"/>
    <col width="15.5" customWidth="1" style="81" min="1801" max="1801"/>
    <col width="11.296875" bestFit="1" customWidth="1" style="81" min="1802" max="1802"/>
    <col width="11.19921875" customWidth="1" style="81" min="1803" max="1803"/>
    <col width="11.5" bestFit="1" customWidth="1" style="81" min="1804" max="1804"/>
    <col width="11.296875" bestFit="1" customWidth="1" style="81" min="1805" max="1805"/>
    <col width="11.19921875" customWidth="1" style="81" min="1806" max="2048"/>
    <col width="3.796875" customWidth="1" style="81" min="2049" max="2049"/>
    <col width="5.796875" customWidth="1" style="81" min="2050" max="2050"/>
    <col width="8.796875" customWidth="1" style="81" min="2051" max="2051"/>
    <col width="26" customWidth="1" style="81" min="2052" max="2052"/>
    <col width="12.5" customWidth="1" style="81" min="2053" max="2053"/>
    <col width="7.296875" customWidth="1" style="81" min="2054" max="2054"/>
    <col width="13.296875" customWidth="1" style="81" min="2055" max="2055"/>
    <col width="12.296875" customWidth="1" style="81" min="2056" max="2056"/>
    <col width="15.5" customWidth="1" style="81" min="2057" max="2057"/>
    <col width="11.296875" bestFit="1" customWidth="1" style="81" min="2058" max="2058"/>
    <col width="11.19921875" customWidth="1" style="81" min="2059" max="2059"/>
    <col width="11.5" bestFit="1" customWidth="1" style="81" min="2060" max="2060"/>
    <col width="11.296875" bestFit="1" customWidth="1" style="81" min="2061" max="2061"/>
    <col width="11.19921875" customWidth="1" style="81" min="2062" max="2304"/>
    <col width="3.796875" customWidth="1" style="81" min="2305" max="2305"/>
    <col width="5.796875" customWidth="1" style="81" min="2306" max="2306"/>
    <col width="8.796875" customWidth="1" style="81" min="2307" max="2307"/>
    <col width="26" customWidth="1" style="81" min="2308" max="2308"/>
    <col width="12.5" customWidth="1" style="81" min="2309" max="2309"/>
    <col width="7.296875" customWidth="1" style="81" min="2310" max="2310"/>
    <col width="13.296875" customWidth="1" style="81" min="2311" max="2311"/>
    <col width="12.296875" customWidth="1" style="81" min="2312" max="2312"/>
    <col width="15.5" customWidth="1" style="81" min="2313" max="2313"/>
    <col width="11.296875" bestFit="1" customWidth="1" style="81" min="2314" max="2314"/>
    <col width="11.19921875" customWidth="1" style="81" min="2315" max="2315"/>
    <col width="11.5" bestFit="1" customWidth="1" style="81" min="2316" max="2316"/>
    <col width="11.296875" bestFit="1" customWidth="1" style="81" min="2317" max="2317"/>
    <col width="11.19921875" customWidth="1" style="81" min="2318" max="2560"/>
    <col width="3.796875" customWidth="1" style="81" min="2561" max="2561"/>
    <col width="5.796875" customWidth="1" style="81" min="2562" max="2562"/>
    <col width="8.796875" customWidth="1" style="81" min="2563" max="2563"/>
    <col width="26" customWidth="1" style="81" min="2564" max="2564"/>
    <col width="12.5" customWidth="1" style="81" min="2565" max="2565"/>
    <col width="7.296875" customWidth="1" style="81" min="2566" max="2566"/>
    <col width="13.296875" customWidth="1" style="81" min="2567" max="2567"/>
    <col width="12.296875" customWidth="1" style="81" min="2568" max="2568"/>
    <col width="15.5" customWidth="1" style="81" min="2569" max="2569"/>
    <col width="11.296875" bestFit="1" customWidth="1" style="81" min="2570" max="2570"/>
    <col width="11.19921875" customWidth="1" style="81" min="2571" max="2571"/>
    <col width="11.5" bestFit="1" customWidth="1" style="81" min="2572" max="2572"/>
    <col width="11.296875" bestFit="1" customWidth="1" style="81" min="2573" max="2573"/>
    <col width="11.19921875" customWidth="1" style="81" min="2574" max="2816"/>
    <col width="3.796875" customWidth="1" style="81" min="2817" max="2817"/>
    <col width="5.796875" customWidth="1" style="81" min="2818" max="2818"/>
    <col width="8.796875" customWidth="1" style="81" min="2819" max="2819"/>
    <col width="26" customWidth="1" style="81" min="2820" max="2820"/>
    <col width="12.5" customWidth="1" style="81" min="2821" max="2821"/>
    <col width="7.296875" customWidth="1" style="81" min="2822" max="2822"/>
    <col width="13.296875" customWidth="1" style="81" min="2823" max="2823"/>
    <col width="12.296875" customWidth="1" style="81" min="2824" max="2824"/>
    <col width="15.5" customWidth="1" style="81" min="2825" max="2825"/>
    <col width="11.296875" bestFit="1" customWidth="1" style="81" min="2826" max="2826"/>
    <col width="11.19921875" customWidth="1" style="81" min="2827" max="2827"/>
    <col width="11.5" bestFit="1" customWidth="1" style="81" min="2828" max="2828"/>
    <col width="11.296875" bestFit="1" customWidth="1" style="81" min="2829" max="2829"/>
    <col width="11.19921875" customWidth="1" style="81" min="2830" max="3072"/>
    <col width="3.796875" customWidth="1" style="81" min="3073" max="3073"/>
    <col width="5.796875" customWidth="1" style="81" min="3074" max="3074"/>
    <col width="8.796875" customWidth="1" style="81" min="3075" max="3075"/>
    <col width="26" customWidth="1" style="81" min="3076" max="3076"/>
    <col width="12.5" customWidth="1" style="81" min="3077" max="3077"/>
    <col width="7.296875" customWidth="1" style="81" min="3078" max="3078"/>
    <col width="13.296875" customWidth="1" style="81" min="3079" max="3079"/>
    <col width="12.296875" customWidth="1" style="81" min="3080" max="3080"/>
    <col width="15.5" customWidth="1" style="81" min="3081" max="3081"/>
    <col width="11.296875" bestFit="1" customWidth="1" style="81" min="3082" max="3082"/>
    <col width="11.19921875" customWidth="1" style="81" min="3083" max="3083"/>
    <col width="11.5" bestFit="1" customWidth="1" style="81" min="3084" max="3084"/>
    <col width="11.296875" bestFit="1" customWidth="1" style="81" min="3085" max="3085"/>
    <col width="11.19921875" customWidth="1" style="81" min="3086" max="3328"/>
    <col width="3.796875" customWidth="1" style="81" min="3329" max="3329"/>
    <col width="5.796875" customWidth="1" style="81" min="3330" max="3330"/>
    <col width="8.796875" customWidth="1" style="81" min="3331" max="3331"/>
    <col width="26" customWidth="1" style="81" min="3332" max="3332"/>
    <col width="12.5" customWidth="1" style="81" min="3333" max="3333"/>
    <col width="7.296875" customWidth="1" style="81" min="3334" max="3334"/>
    <col width="13.296875" customWidth="1" style="81" min="3335" max="3335"/>
    <col width="12.296875" customWidth="1" style="81" min="3336" max="3336"/>
    <col width="15.5" customWidth="1" style="81" min="3337" max="3337"/>
    <col width="11.296875" bestFit="1" customWidth="1" style="81" min="3338" max="3338"/>
    <col width="11.19921875" customWidth="1" style="81" min="3339" max="3339"/>
    <col width="11.5" bestFit="1" customWidth="1" style="81" min="3340" max="3340"/>
    <col width="11.296875" bestFit="1" customWidth="1" style="81" min="3341" max="3341"/>
    <col width="11.19921875" customWidth="1" style="81" min="3342" max="3584"/>
    <col width="3.796875" customWidth="1" style="81" min="3585" max="3585"/>
    <col width="5.796875" customWidth="1" style="81" min="3586" max="3586"/>
    <col width="8.796875" customWidth="1" style="81" min="3587" max="3587"/>
    <col width="26" customWidth="1" style="81" min="3588" max="3588"/>
    <col width="12.5" customWidth="1" style="81" min="3589" max="3589"/>
    <col width="7.296875" customWidth="1" style="81" min="3590" max="3590"/>
    <col width="13.296875" customWidth="1" style="81" min="3591" max="3591"/>
    <col width="12.296875" customWidth="1" style="81" min="3592" max="3592"/>
    <col width="15.5" customWidth="1" style="81" min="3593" max="3593"/>
    <col width="11.296875" bestFit="1" customWidth="1" style="81" min="3594" max="3594"/>
    <col width="11.19921875" customWidth="1" style="81" min="3595" max="3595"/>
    <col width="11.5" bestFit="1" customWidth="1" style="81" min="3596" max="3596"/>
    <col width="11.296875" bestFit="1" customWidth="1" style="81" min="3597" max="3597"/>
    <col width="11.19921875" customWidth="1" style="81" min="3598" max="3840"/>
    <col width="3.796875" customWidth="1" style="81" min="3841" max="3841"/>
    <col width="5.796875" customWidth="1" style="81" min="3842" max="3842"/>
    <col width="8.796875" customWidth="1" style="81" min="3843" max="3843"/>
    <col width="26" customWidth="1" style="81" min="3844" max="3844"/>
    <col width="12.5" customWidth="1" style="81" min="3845" max="3845"/>
    <col width="7.296875" customWidth="1" style="81" min="3846" max="3846"/>
    <col width="13.296875" customWidth="1" style="81" min="3847" max="3847"/>
    <col width="12.296875" customWidth="1" style="81" min="3848" max="3848"/>
    <col width="15.5" customWidth="1" style="81" min="3849" max="3849"/>
    <col width="11.296875" bestFit="1" customWidth="1" style="81" min="3850" max="3850"/>
    <col width="11.19921875" customWidth="1" style="81" min="3851" max="3851"/>
    <col width="11.5" bestFit="1" customWidth="1" style="81" min="3852" max="3852"/>
    <col width="11.296875" bestFit="1" customWidth="1" style="81" min="3853" max="3853"/>
    <col width="11.19921875" customWidth="1" style="81" min="3854" max="4096"/>
    <col width="3.796875" customWidth="1" style="81" min="4097" max="4097"/>
    <col width="5.796875" customWidth="1" style="81" min="4098" max="4098"/>
    <col width="8.796875" customWidth="1" style="81" min="4099" max="4099"/>
    <col width="26" customWidth="1" style="81" min="4100" max="4100"/>
    <col width="12.5" customWidth="1" style="81" min="4101" max="4101"/>
    <col width="7.296875" customWidth="1" style="81" min="4102" max="4102"/>
    <col width="13.296875" customWidth="1" style="81" min="4103" max="4103"/>
    <col width="12.296875" customWidth="1" style="81" min="4104" max="4104"/>
    <col width="15.5" customWidth="1" style="81" min="4105" max="4105"/>
    <col width="11.296875" bestFit="1" customWidth="1" style="81" min="4106" max="4106"/>
    <col width="11.19921875" customWidth="1" style="81" min="4107" max="4107"/>
    <col width="11.5" bestFit="1" customWidth="1" style="81" min="4108" max="4108"/>
    <col width="11.296875" bestFit="1" customWidth="1" style="81" min="4109" max="4109"/>
    <col width="11.19921875" customWidth="1" style="81" min="4110" max="4352"/>
    <col width="3.796875" customWidth="1" style="81" min="4353" max="4353"/>
    <col width="5.796875" customWidth="1" style="81" min="4354" max="4354"/>
    <col width="8.796875" customWidth="1" style="81" min="4355" max="4355"/>
    <col width="26" customWidth="1" style="81" min="4356" max="4356"/>
    <col width="12.5" customWidth="1" style="81" min="4357" max="4357"/>
    <col width="7.296875" customWidth="1" style="81" min="4358" max="4358"/>
    <col width="13.296875" customWidth="1" style="81" min="4359" max="4359"/>
    <col width="12.296875" customWidth="1" style="81" min="4360" max="4360"/>
    <col width="15.5" customWidth="1" style="81" min="4361" max="4361"/>
    <col width="11.296875" bestFit="1" customWidth="1" style="81" min="4362" max="4362"/>
    <col width="11.19921875" customWidth="1" style="81" min="4363" max="4363"/>
    <col width="11.5" bestFit="1" customWidth="1" style="81" min="4364" max="4364"/>
    <col width="11.296875" bestFit="1" customWidth="1" style="81" min="4365" max="4365"/>
    <col width="11.19921875" customWidth="1" style="81" min="4366" max="4608"/>
    <col width="3.796875" customWidth="1" style="81" min="4609" max="4609"/>
    <col width="5.796875" customWidth="1" style="81" min="4610" max="4610"/>
    <col width="8.796875" customWidth="1" style="81" min="4611" max="4611"/>
    <col width="26" customWidth="1" style="81" min="4612" max="4612"/>
    <col width="12.5" customWidth="1" style="81" min="4613" max="4613"/>
    <col width="7.296875" customWidth="1" style="81" min="4614" max="4614"/>
    <col width="13.296875" customWidth="1" style="81" min="4615" max="4615"/>
    <col width="12.296875" customWidth="1" style="81" min="4616" max="4616"/>
    <col width="15.5" customWidth="1" style="81" min="4617" max="4617"/>
    <col width="11.296875" bestFit="1" customWidth="1" style="81" min="4618" max="4618"/>
    <col width="11.19921875" customWidth="1" style="81" min="4619" max="4619"/>
    <col width="11.5" bestFit="1" customWidth="1" style="81" min="4620" max="4620"/>
    <col width="11.296875" bestFit="1" customWidth="1" style="81" min="4621" max="4621"/>
    <col width="11.19921875" customWidth="1" style="81" min="4622" max="4864"/>
    <col width="3.796875" customWidth="1" style="81" min="4865" max="4865"/>
    <col width="5.796875" customWidth="1" style="81" min="4866" max="4866"/>
    <col width="8.796875" customWidth="1" style="81" min="4867" max="4867"/>
    <col width="26" customWidth="1" style="81" min="4868" max="4868"/>
    <col width="12.5" customWidth="1" style="81" min="4869" max="4869"/>
    <col width="7.296875" customWidth="1" style="81" min="4870" max="4870"/>
    <col width="13.296875" customWidth="1" style="81" min="4871" max="4871"/>
    <col width="12.296875" customWidth="1" style="81" min="4872" max="4872"/>
    <col width="15.5" customWidth="1" style="81" min="4873" max="4873"/>
    <col width="11.296875" bestFit="1" customWidth="1" style="81" min="4874" max="4874"/>
    <col width="11.19921875" customWidth="1" style="81" min="4875" max="4875"/>
    <col width="11.5" bestFit="1" customWidth="1" style="81" min="4876" max="4876"/>
    <col width="11.296875" bestFit="1" customWidth="1" style="81" min="4877" max="4877"/>
    <col width="11.19921875" customWidth="1" style="81" min="4878" max="5120"/>
    <col width="3.796875" customWidth="1" style="81" min="5121" max="5121"/>
    <col width="5.796875" customWidth="1" style="81" min="5122" max="5122"/>
    <col width="8.796875" customWidth="1" style="81" min="5123" max="5123"/>
    <col width="26" customWidth="1" style="81" min="5124" max="5124"/>
    <col width="12.5" customWidth="1" style="81" min="5125" max="5125"/>
    <col width="7.296875" customWidth="1" style="81" min="5126" max="5126"/>
    <col width="13.296875" customWidth="1" style="81" min="5127" max="5127"/>
    <col width="12.296875" customWidth="1" style="81" min="5128" max="5128"/>
    <col width="15.5" customWidth="1" style="81" min="5129" max="5129"/>
    <col width="11.296875" bestFit="1" customWidth="1" style="81" min="5130" max="5130"/>
    <col width="11.19921875" customWidth="1" style="81" min="5131" max="5131"/>
    <col width="11.5" bestFit="1" customWidth="1" style="81" min="5132" max="5132"/>
    <col width="11.296875" bestFit="1" customWidth="1" style="81" min="5133" max="5133"/>
    <col width="11.19921875" customWidth="1" style="81" min="5134" max="5376"/>
    <col width="3.796875" customWidth="1" style="81" min="5377" max="5377"/>
    <col width="5.796875" customWidth="1" style="81" min="5378" max="5378"/>
    <col width="8.796875" customWidth="1" style="81" min="5379" max="5379"/>
    <col width="26" customWidth="1" style="81" min="5380" max="5380"/>
    <col width="12.5" customWidth="1" style="81" min="5381" max="5381"/>
    <col width="7.296875" customWidth="1" style="81" min="5382" max="5382"/>
    <col width="13.296875" customWidth="1" style="81" min="5383" max="5383"/>
    <col width="12.296875" customWidth="1" style="81" min="5384" max="5384"/>
    <col width="15.5" customWidth="1" style="81" min="5385" max="5385"/>
    <col width="11.296875" bestFit="1" customWidth="1" style="81" min="5386" max="5386"/>
    <col width="11.19921875" customWidth="1" style="81" min="5387" max="5387"/>
    <col width="11.5" bestFit="1" customWidth="1" style="81" min="5388" max="5388"/>
    <col width="11.296875" bestFit="1" customWidth="1" style="81" min="5389" max="5389"/>
    <col width="11.19921875" customWidth="1" style="81" min="5390" max="5632"/>
    <col width="3.796875" customWidth="1" style="81" min="5633" max="5633"/>
    <col width="5.796875" customWidth="1" style="81" min="5634" max="5634"/>
    <col width="8.796875" customWidth="1" style="81" min="5635" max="5635"/>
    <col width="26" customWidth="1" style="81" min="5636" max="5636"/>
    <col width="12.5" customWidth="1" style="81" min="5637" max="5637"/>
    <col width="7.296875" customWidth="1" style="81" min="5638" max="5638"/>
    <col width="13.296875" customWidth="1" style="81" min="5639" max="5639"/>
    <col width="12.296875" customWidth="1" style="81" min="5640" max="5640"/>
    <col width="15.5" customWidth="1" style="81" min="5641" max="5641"/>
    <col width="11.296875" bestFit="1" customWidth="1" style="81" min="5642" max="5642"/>
    <col width="11.19921875" customWidth="1" style="81" min="5643" max="5643"/>
    <col width="11.5" bestFit="1" customWidth="1" style="81" min="5644" max="5644"/>
    <col width="11.296875" bestFit="1" customWidth="1" style="81" min="5645" max="5645"/>
    <col width="11.19921875" customWidth="1" style="81" min="5646" max="5888"/>
    <col width="3.796875" customWidth="1" style="81" min="5889" max="5889"/>
    <col width="5.796875" customWidth="1" style="81" min="5890" max="5890"/>
    <col width="8.796875" customWidth="1" style="81" min="5891" max="5891"/>
    <col width="26" customWidth="1" style="81" min="5892" max="5892"/>
    <col width="12.5" customWidth="1" style="81" min="5893" max="5893"/>
    <col width="7.296875" customWidth="1" style="81" min="5894" max="5894"/>
    <col width="13.296875" customWidth="1" style="81" min="5895" max="5895"/>
    <col width="12.296875" customWidth="1" style="81" min="5896" max="5896"/>
    <col width="15.5" customWidth="1" style="81" min="5897" max="5897"/>
    <col width="11.296875" bestFit="1" customWidth="1" style="81" min="5898" max="5898"/>
    <col width="11.19921875" customWidth="1" style="81" min="5899" max="5899"/>
    <col width="11.5" bestFit="1" customWidth="1" style="81" min="5900" max="5900"/>
    <col width="11.296875" bestFit="1" customWidth="1" style="81" min="5901" max="5901"/>
    <col width="11.19921875" customWidth="1" style="81" min="5902" max="6144"/>
    <col width="3.796875" customWidth="1" style="81" min="6145" max="6145"/>
    <col width="5.796875" customWidth="1" style="81" min="6146" max="6146"/>
    <col width="8.796875" customWidth="1" style="81" min="6147" max="6147"/>
    <col width="26" customWidth="1" style="81" min="6148" max="6148"/>
    <col width="12.5" customWidth="1" style="81" min="6149" max="6149"/>
    <col width="7.296875" customWidth="1" style="81" min="6150" max="6150"/>
    <col width="13.296875" customWidth="1" style="81" min="6151" max="6151"/>
    <col width="12.296875" customWidth="1" style="81" min="6152" max="6152"/>
    <col width="15.5" customWidth="1" style="81" min="6153" max="6153"/>
    <col width="11.296875" bestFit="1" customWidth="1" style="81" min="6154" max="6154"/>
    <col width="11.19921875" customWidth="1" style="81" min="6155" max="6155"/>
    <col width="11.5" bestFit="1" customWidth="1" style="81" min="6156" max="6156"/>
    <col width="11.296875" bestFit="1" customWidth="1" style="81" min="6157" max="6157"/>
    <col width="11.19921875" customWidth="1" style="81" min="6158" max="6400"/>
    <col width="3.796875" customWidth="1" style="81" min="6401" max="6401"/>
    <col width="5.796875" customWidth="1" style="81" min="6402" max="6402"/>
    <col width="8.796875" customWidth="1" style="81" min="6403" max="6403"/>
    <col width="26" customWidth="1" style="81" min="6404" max="6404"/>
    <col width="12.5" customWidth="1" style="81" min="6405" max="6405"/>
    <col width="7.296875" customWidth="1" style="81" min="6406" max="6406"/>
    <col width="13.296875" customWidth="1" style="81" min="6407" max="6407"/>
    <col width="12.296875" customWidth="1" style="81" min="6408" max="6408"/>
    <col width="15.5" customWidth="1" style="81" min="6409" max="6409"/>
    <col width="11.296875" bestFit="1" customWidth="1" style="81" min="6410" max="6410"/>
    <col width="11.19921875" customWidth="1" style="81" min="6411" max="6411"/>
    <col width="11.5" bestFit="1" customWidth="1" style="81" min="6412" max="6412"/>
    <col width="11.296875" bestFit="1" customWidth="1" style="81" min="6413" max="6413"/>
    <col width="11.19921875" customWidth="1" style="81" min="6414" max="6656"/>
    <col width="3.796875" customWidth="1" style="81" min="6657" max="6657"/>
    <col width="5.796875" customWidth="1" style="81" min="6658" max="6658"/>
    <col width="8.796875" customWidth="1" style="81" min="6659" max="6659"/>
    <col width="26" customWidth="1" style="81" min="6660" max="6660"/>
    <col width="12.5" customWidth="1" style="81" min="6661" max="6661"/>
    <col width="7.296875" customWidth="1" style="81" min="6662" max="6662"/>
    <col width="13.296875" customWidth="1" style="81" min="6663" max="6663"/>
    <col width="12.296875" customWidth="1" style="81" min="6664" max="6664"/>
    <col width="15.5" customWidth="1" style="81" min="6665" max="6665"/>
    <col width="11.296875" bestFit="1" customWidth="1" style="81" min="6666" max="6666"/>
    <col width="11.19921875" customWidth="1" style="81" min="6667" max="6667"/>
    <col width="11.5" bestFit="1" customWidth="1" style="81" min="6668" max="6668"/>
    <col width="11.296875" bestFit="1" customWidth="1" style="81" min="6669" max="6669"/>
    <col width="11.19921875" customWidth="1" style="81" min="6670" max="6912"/>
    <col width="3.796875" customWidth="1" style="81" min="6913" max="6913"/>
    <col width="5.796875" customWidth="1" style="81" min="6914" max="6914"/>
    <col width="8.796875" customWidth="1" style="81" min="6915" max="6915"/>
    <col width="26" customWidth="1" style="81" min="6916" max="6916"/>
    <col width="12.5" customWidth="1" style="81" min="6917" max="6917"/>
    <col width="7.296875" customWidth="1" style="81" min="6918" max="6918"/>
    <col width="13.296875" customWidth="1" style="81" min="6919" max="6919"/>
    <col width="12.296875" customWidth="1" style="81" min="6920" max="6920"/>
    <col width="15.5" customWidth="1" style="81" min="6921" max="6921"/>
    <col width="11.296875" bestFit="1" customWidth="1" style="81" min="6922" max="6922"/>
    <col width="11.19921875" customWidth="1" style="81" min="6923" max="6923"/>
    <col width="11.5" bestFit="1" customWidth="1" style="81" min="6924" max="6924"/>
    <col width="11.296875" bestFit="1" customWidth="1" style="81" min="6925" max="6925"/>
    <col width="11.19921875" customWidth="1" style="81" min="6926" max="7168"/>
    <col width="3.796875" customWidth="1" style="81" min="7169" max="7169"/>
    <col width="5.796875" customWidth="1" style="81" min="7170" max="7170"/>
    <col width="8.796875" customWidth="1" style="81" min="7171" max="7171"/>
    <col width="26" customWidth="1" style="81" min="7172" max="7172"/>
    <col width="12.5" customWidth="1" style="81" min="7173" max="7173"/>
    <col width="7.296875" customWidth="1" style="81" min="7174" max="7174"/>
    <col width="13.296875" customWidth="1" style="81" min="7175" max="7175"/>
    <col width="12.296875" customWidth="1" style="81" min="7176" max="7176"/>
    <col width="15.5" customWidth="1" style="81" min="7177" max="7177"/>
    <col width="11.296875" bestFit="1" customWidth="1" style="81" min="7178" max="7178"/>
    <col width="11.19921875" customWidth="1" style="81" min="7179" max="7179"/>
    <col width="11.5" bestFit="1" customWidth="1" style="81" min="7180" max="7180"/>
    <col width="11.296875" bestFit="1" customWidth="1" style="81" min="7181" max="7181"/>
    <col width="11.19921875" customWidth="1" style="81" min="7182" max="7424"/>
    <col width="3.796875" customWidth="1" style="81" min="7425" max="7425"/>
    <col width="5.796875" customWidth="1" style="81" min="7426" max="7426"/>
    <col width="8.796875" customWidth="1" style="81" min="7427" max="7427"/>
    <col width="26" customWidth="1" style="81" min="7428" max="7428"/>
    <col width="12.5" customWidth="1" style="81" min="7429" max="7429"/>
    <col width="7.296875" customWidth="1" style="81" min="7430" max="7430"/>
    <col width="13.296875" customWidth="1" style="81" min="7431" max="7431"/>
    <col width="12.296875" customWidth="1" style="81" min="7432" max="7432"/>
    <col width="15.5" customWidth="1" style="81" min="7433" max="7433"/>
    <col width="11.296875" bestFit="1" customWidth="1" style="81" min="7434" max="7434"/>
    <col width="11.19921875" customWidth="1" style="81" min="7435" max="7435"/>
    <col width="11.5" bestFit="1" customWidth="1" style="81" min="7436" max="7436"/>
    <col width="11.296875" bestFit="1" customWidth="1" style="81" min="7437" max="7437"/>
    <col width="11.19921875" customWidth="1" style="81" min="7438" max="7680"/>
    <col width="3.796875" customWidth="1" style="81" min="7681" max="7681"/>
    <col width="5.796875" customWidth="1" style="81" min="7682" max="7682"/>
    <col width="8.796875" customWidth="1" style="81" min="7683" max="7683"/>
    <col width="26" customWidth="1" style="81" min="7684" max="7684"/>
    <col width="12.5" customWidth="1" style="81" min="7685" max="7685"/>
    <col width="7.296875" customWidth="1" style="81" min="7686" max="7686"/>
    <col width="13.296875" customWidth="1" style="81" min="7687" max="7687"/>
    <col width="12.296875" customWidth="1" style="81" min="7688" max="7688"/>
    <col width="15.5" customWidth="1" style="81" min="7689" max="7689"/>
    <col width="11.296875" bestFit="1" customWidth="1" style="81" min="7690" max="7690"/>
    <col width="11.19921875" customWidth="1" style="81" min="7691" max="7691"/>
    <col width="11.5" bestFit="1" customWidth="1" style="81" min="7692" max="7692"/>
    <col width="11.296875" bestFit="1" customWidth="1" style="81" min="7693" max="7693"/>
    <col width="11.19921875" customWidth="1" style="81" min="7694" max="7936"/>
    <col width="3.796875" customWidth="1" style="81" min="7937" max="7937"/>
    <col width="5.796875" customWidth="1" style="81" min="7938" max="7938"/>
    <col width="8.796875" customWidth="1" style="81" min="7939" max="7939"/>
    <col width="26" customWidth="1" style="81" min="7940" max="7940"/>
    <col width="12.5" customWidth="1" style="81" min="7941" max="7941"/>
    <col width="7.296875" customWidth="1" style="81" min="7942" max="7942"/>
    <col width="13.296875" customWidth="1" style="81" min="7943" max="7943"/>
    <col width="12.296875" customWidth="1" style="81" min="7944" max="7944"/>
    <col width="15.5" customWidth="1" style="81" min="7945" max="7945"/>
    <col width="11.296875" bestFit="1" customWidth="1" style="81" min="7946" max="7946"/>
    <col width="11.19921875" customWidth="1" style="81" min="7947" max="7947"/>
    <col width="11.5" bestFit="1" customWidth="1" style="81" min="7948" max="7948"/>
    <col width="11.296875" bestFit="1" customWidth="1" style="81" min="7949" max="7949"/>
    <col width="11.19921875" customWidth="1" style="81" min="7950" max="8192"/>
    <col width="3.796875" customWidth="1" style="81" min="8193" max="8193"/>
    <col width="5.796875" customWidth="1" style="81" min="8194" max="8194"/>
    <col width="8.796875" customWidth="1" style="81" min="8195" max="8195"/>
    <col width="26" customWidth="1" style="81" min="8196" max="8196"/>
    <col width="12.5" customWidth="1" style="81" min="8197" max="8197"/>
    <col width="7.296875" customWidth="1" style="81" min="8198" max="8198"/>
    <col width="13.296875" customWidth="1" style="81" min="8199" max="8199"/>
    <col width="12.296875" customWidth="1" style="81" min="8200" max="8200"/>
    <col width="15.5" customWidth="1" style="81" min="8201" max="8201"/>
    <col width="11.296875" bestFit="1" customWidth="1" style="81" min="8202" max="8202"/>
    <col width="11.19921875" customWidth="1" style="81" min="8203" max="8203"/>
    <col width="11.5" bestFit="1" customWidth="1" style="81" min="8204" max="8204"/>
    <col width="11.296875" bestFit="1" customWidth="1" style="81" min="8205" max="8205"/>
    <col width="11.19921875" customWidth="1" style="81" min="8206" max="8448"/>
    <col width="3.796875" customWidth="1" style="81" min="8449" max="8449"/>
    <col width="5.796875" customWidth="1" style="81" min="8450" max="8450"/>
    <col width="8.796875" customWidth="1" style="81" min="8451" max="8451"/>
    <col width="26" customWidth="1" style="81" min="8452" max="8452"/>
    <col width="12.5" customWidth="1" style="81" min="8453" max="8453"/>
    <col width="7.296875" customWidth="1" style="81" min="8454" max="8454"/>
    <col width="13.296875" customWidth="1" style="81" min="8455" max="8455"/>
    <col width="12.296875" customWidth="1" style="81" min="8456" max="8456"/>
    <col width="15.5" customWidth="1" style="81" min="8457" max="8457"/>
    <col width="11.296875" bestFit="1" customWidth="1" style="81" min="8458" max="8458"/>
    <col width="11.19921875" customWidth="1" style="81" min="8459" max="8459"/>
    <col width="11.5" bestFit="1" customWidth="1" style="81" min="8460" max="8460"/>
    <col width="11.296875" bestFit="1" customWidth="1" style="81" min="8461" max="8461"/>
    <col width="11.19921875" customWidth="1" style="81" min="8462" max="8704"/>
    <col width="3.796875" customWidth="1" style="81" min="8705" max="8705"/>
    <col width="5.796875" customWidth="1" style="81" min="8706" max="8706"/>
    <col width="8.796875" customWidth="1" style="81" min="8707" max="8707"/>
    <col width="26" customWidth="1" style="81" min="8708" max="8708"/>
    <col width="12.5" customWidth="1" style="81" min="8709" max="8709"/>
    <col width="7.296875" customWidth="1" style="81" min="8710" max="8710"/>
    <col width="13.296875" customWidth="1" style="81" min="8711" max="8711"/>
    <col width="12.296875" customWidth="1" style="81" min="8712" max="8712"/>
    <col width="15.5" customWidth="1" style="81" min="8713" max="8713"/>
    <col width="11.296875" bestFit="1" customWidth="1" style="81" min="8714" max="8714"/>
    <col width="11.19921875" customWidth="1" style="81" min="8715" max="8715"/>
    <col width="11.5" bestFit="1" customWidth="1" style="81" min="8716" max="8716"/>
    <col width="11.296875" bestFit="1" customWidth="1" style="81" min="8717" max="8717"/>
    <col width="11.19921875" customWidth="1" style="81" min="8718" max="8960"/>
    <col width="3.796875" customWidth="1" style="81" min="8961" max="8961"/>
    <col width="5.796875" customWidth="1" style="81" min="8962" max="8962"/>
    <col width="8.796875" customWidth="1" style="81" min="8963" max="8963"/>
    <col width="26" customWidth="1" style="81" min="8964" max="8964"/>
    <col width="12.5" customWidth="1" style="81" min="8965" max="8965"/>
    <col width="7.296875" customWidth="1" style="81" min="8966" max="8966"/>
    <col width="13.296875" customWidth="1" style="81" min="8967" max="8967"/>
    <col width="12.296875" customWidth="1" style="81" min="8968" max="8968"/>
    <col width="15.5" customWidth="1" style="81" min="8969" max="8969"/>
    <col width="11.296875" bestFit="1" customWidth="1" style="81" min="8970" max="8970"/>
    <col width="11.19921875" customWidth="1" style="81" min="8971" max="8971"/>
    <col width="11.5" bestFit="1" customWidth="1" style="81" min="8972" max="8972"/>
    <col width="11.296875" bestFit="1" customWidth="1" style="81" min="8973" max="8973"/>
    <col width="11.19921875" customWidth="1" style="81" min="8974" max="9216"/>
    <col width="3.796875" customWidth="1" style="81" min="9217" max="9217"/>
    <col width="5.796875" customWidth="1" style="81" min="9218" max="9218"/>
    <col width="8.796875" customWidth="1" style="81" min="9219" max="9219"/>
    <col width="26" customWidth="1" style="81" min="9220" max="9220"/>
    <col width="12.5" customWidth="1" style="81" min="9221" max="9221"/>
    <col width="7.296875" customWidth="1" style="81" min="9222" max="9222"/>
    <col width="13.296875" customWidth="1" style="81" min="9223" max="9223"/>
    <col width="12.296875" customWidth="1" style="81" min="9224" max="9224"/>
    <col width="15.5" customWidth="1" style="81" min="9225" max="9225"/>
    <col width="11.296875" bestFit="1" customWidth="1" style="81" min="9226" max="9226"/>
    <col width="11.19921875" customWidth="1" style="81" min="9227" max="9227"/>
    <col width="11.5" bestFit="1" customWidth="1" style="81" min="9228" max="9228"/>
    <col width="11.296875" bestFit="1" customWidth="1" style="81" min="9229" max="9229"/>
    <col width="11.19921875" customWidth="1" style="81" min="9230" max="9472"/>
    <col width="3.796875" customWidth="1" style="81" min="9473" max="9473"/>
    <col width="5.796875" customWidth="1" style="81" min="9474" max="9474"/>
    <col width="8.796875" customWidth="1" style="81" min="9475" max="9475"/>
    <col width="26" customWidth="1" style="81" min="9476" max="9476"/>
    <col width="12.5" customWidth="1" style="81" min="9477" max="9477"/>
    <col width="7.296875" customWidth="1" style="81" min="9478" max="9478"/>
    <col width="13.296875" customWidth="1" style="81" min="9479" max="9479"/>
    <col width="12.296875" customWidth="1" style="81" min="9480" max="9480"/>
    <col width="15.5" customWidth="1" style="81" min="9481" max="9481"/>
    <col width="11.296875" bestFit="1" customWidth="1" style="81" min="9482" max="9482"/>
    <col width="11.19921875" customWidth="1" style="81" min="9483" max="9483"/>
    <col width="11.5" bestFit="1" customWidth="1" style="81" min="9484" max="9484"/>
    <col width="11.296875" bestFit="1" customWidth="1" style="81" min="9485" max="9485"/>
    <col width="11.19921875" customWidth="1" style="81" min="9486" max="9728"/>
    <col width="3.796875" customWidth="1" style="81" min="9729" max="9729"/>
    <col width="5.796875" customWidth="1" style="81" min="9730" max="9730"/>
    <col width="8.796875" customWidth="1" style="81" min="9731" max="9731"/>
    <col width="26" customWidth="1" style="81" min="9732" max="9732"/>
    <col width="12.5" customWidth="1" style="81" min="9733" max="9733"/>
    <col width="7.296875" customWidth="1" style="81" min="9734" max="9734"/>
    <col width="13.296875" customWidth="1" style="81" min="9735" max="9735"/>
    <col width="12.296875" customWidth="1" style="81" min="9736" max="9736"/>
    <col width="15.5" customWidth="1" style="81" min="9737" max="9737"/>
    <col width="11.296875" bestFit="1" customWidth="1" style="81" min="9738" max="9738"/>
    <col width="11.19921875" customWidth="1" style="81" min="9739" max="9739"/>
    <col width="11.5" bestFit="1" customWidth="1" style="81" min="9740" max="9740"/>
    <col width="11.296875" bestFit="1" customWidth="1" style="81" min="9741" max="9741"/>
    <col width="11.19921875" customWidth="1" style="81" min="9742" max="9984"/>
    <col width="3.796875" customWidth="1" style="81" min="9985" max="9985"/>
    <col width="5.796875" customWidth="1" style="81" min="9986" max="9986"/>
    <col width="8.796875" customWidth="1" style="81" min="9987" max="9987"/>
    <col width="26" customWidth="1" style="81" min="9988" max="9988"/>
    <col width="12.5" customWidth="1" style="81" min="9989" max="9989"/>
    <col width="7.296875" customWidth="1" style="81" min="9990" max="9990"/>
    <col width="13.296875" customWidth="1" style="81" min="9991" max="9991"/>
    <col width="12.296875" customWidth="1" style="81" min="9992" max="9992"/>
    <col width="15.5" customWidth="1" style="81" min="9993" max="9993"/>
    <col width="11.296875" bestFit="1" customWidth="1" style="81" min="9994" max="9994"/>
    <col width="11.19921875" customWidth="1" style="81" min="9995" max="9995"/>
    <col width="11.5" bestFit="1" customWidth="1" style="81" min="9996" max="9996"/>
    <col width="11.296875" bestFit="1" customWidth="1" style="81" min="9997" max="9997"/>
    <col width="11.19921875" customWidth="1" style="81" min="9998" max="10240"/>
    <col width="3.796875" customWidth="1" style="81" min="10241" max="10241"/>
    <col width="5.796875" customWidth="1" style="81" min="10242" max="10242"/>
    <col width="8.796875" customWidth="1" style="81" min="10243" max="10243"/>
    <col width="26" customWidth="1" style="81" min="10244" max="10244"/>
    <col width="12.5" customWidth="1" style="81" min="10245" max="10245"/>
    <col width="7.296875" customWidth="1" style="81" min="10246" max="10246"/>
    <col width="13.296875" customWidth="1" style="81" min="10247" max="10247"/>
    <col width="12.296875" customWidth="1" style="81" min="10248" max="10248"/>
    <col width="15.5" customWidth="1" style="81" min="10249" max="10249"/>
    <col width="11.296875" bestFit="1" customWidth="1" style="81" min="10250" max="10250"/>
    <col width="11.19921875" customWidth="1" style="81" min="10251" max="10251"/>
    <col width="11.5" bestFit="1" customWidth="1" style="81" min="10252" max="10252"/>
    <col width="11.296875" bestFit="1" customWidth="1" style="81" min="10253" max="10253"/>
    <col width="11.19921875" customWidth="1" style="81" min="10254" max="10496"/>
    <col width="3.796875" customWidth="1" style="81" min="10497" max="10497"/>
    <col width="5.796875" customWidth="1" style="81" min="10498" max="10498"/>
    <col width="8.796875" customWidth="1" style="81" min="10499" max="10499"/>
    <col width="26" customWidth="1" style="81" min="10500" max="10500"/>
    <col width="12.5" customWidth="1" style="81" min="10501" max="10501"/>
    <col width="7.296875" customWidth="1" style="81" min="10502" max="10502"/>
    <col width="13.296875" customWidth="1" style="81" min="10503" max="10503"/>
    <col width="12.296875" customWidth="1" style="81" min="10504" max="10504"/>
    <col width="15.5" customWidth="1" style="81" min="10505" max="10505"/>
    <col width="11.296875" bestFit="1" customWidth="1" style="81" min="10506" max="10506"/>
    <col width="11.19921875" customWidth="1" style="81" min="10507" max="10507"/>
    <col width="11.5" bestFit="1" customWidth="1" style="81" min="10508" max="10508"/>
    <col width="11.296875" bestFit="1" customWidth="1" style="81" min="10509" max="10509"/>
    <col width="11.19921875" customWidth="1" style="81" min="10510" max="10752"/>
    <col width="3.796875" customWidth="1" style="81" min="10753" max="10753"/>
    <col width="5.796875" customWidth="1" style="81" min="10754" max="10754"/>
    <col width="8.796875" customWidth="1" style="81" min="10755" max="10755"/>
    <col width="26" customWidth="1" style="81" min="10756" max="10756"/>
    <col width="12.5" customWidth="1" style="81" min="10757" max="10757"/>
    <col width="7.296875" customWidth="1" style="81" min="10758" max="10758"/>
    <col width="13.296875" customWidth="1" style="81" min="10759" max="10759"/>
    <col width="12.296875" customWidth="1" style="81" min="10760" max="10760"/>
    <col width="15.5" customWidth="1" style="81" min="10761" max="10761"/>
    <col width="11.296875" bestFit="1" customWidth="1" style="81" min="10762" max="10762"/>
    <col width="11.19921875" customWidth="1" style="81" min="10763" max="10763"/>
    <col width="11.5" bestFit="1" customWidth="1" style="81" min="10764" max="10764"/>
    <col width="11.296875" bestFit="1" customWidth="1" style="81" min="10765" max="10765"/>
    <col width="11.19921875" customWidth="1" style="81" min="10766" max="11008"/>
    <col width="3.796875" customWidth="1" style="81" min="11009" max="11009"/>
    <col width="5.796875" customWidth="1" style="81" min="11010" max="11010"/>
    <col width="8.796875" customWidth="1" style="81" min="11011" max="11011"/>
    <col width="26" customWidth="1" style="81" min="11012" max="11012"/>
    <col width="12.5" customWidth="1" style="81" min="11013" max="11013"/>
    <col width="7.296875" customWidth="1" style="81" min="11014" max="11014"/>
    <col width="13.296875" customWidth="1" style="81" min="11015" max="11015"/>
    <col width="12.296875" customWidth="1" style="81" min="11016" max="11016"/>
    <col width="15.5" customWidth="1" style="81" min="11017" max="11017"/>
    <col width="11.296875" bestFit="1" customWidth="1" style="81" min="11018" max="11018"/>
    <col width="11.19921875" customWidth="1" style="81" min="11019" max="11019"/>
    <col width="11.5" bestFit="1" customWidth="1" style="81" min="11020" max="11020"/>
    <col width="11.296875" bestFit="1" customWidth="1" style="81" min="11021" max="11021"/>
    <col width="11.19921875" customWidth="1" style="81" min="11022" max="11264"/>
    <col width="3.796875" customWidth="1" style="81" min="11265" max="11265"/>
    <col width="5.796875" customWidth="1" style="81" min="11266" max="11266"/>
    <col width="8.796875" customWidth="1" style="81" min="11267" max="11267"/>
    <col width="26" customWidth="1" style="81" min="11268" max="11268"/>
    <col width="12.5" customWidth="1" style="81" min="11269" max="11269"/>
    <col width="7.296875" customWidth="1" style="81" min="11270" max="11270"/>
    <col width="13.296875" customWidth="1" style="81" min="11271" max="11271"/>
    <col width="12.296875" customWidth="1" style="81" min="11272" max="11272"/>
    <col width="15.5" customWidth="1" style="81" min="11273" max="11273"/>
    <col width="11.296875" bestFit="1" customWidth="1" style="81" min="11274" max="11274"/>
    <col width="11.19921875" customWidth="1" style="81" min="11275" max="11275"/>
    <col width="11.5" bestFit="1" customWidth="1" style="81" min="11276" max="11276"/>
    <col width="11.296875" bestFit="1" customWidth="1" style="81" min="11277" max="11277"/>
    <col width="11.19921875" customWidth="1" style="81" min="11278" max="11520"/>
    <col width="3.796875" customWidth="1" style="81" min="11521" max="11521"/>
    <col width="5.796875" customWidth="1" style="81" min="11522" max="11522"/>
    <col width="8.796875" customWidth="1" style="81" min="11523" max="11523"/>
    <col width="26" customWidth="1" style="81" min="11524" max="11524"/>
    <col width="12.5" customWidth="1" style="81" min="11525" max="11525"/>
    <col width="7.296875" customWidth="1" style="81" min="11526" max="11526"/>
    <col width="13.296875" customWidth="1" style="81" min="11527" max="11527"/>
    <col width="12.296875" customWidth="1" style="81" min="11528" max="11528"/>
    <col width="15.5" customWidth="1" style="81" min="11529" max="11529"/>
    <col width="11.296875" bestFit="1" customWidth="1" style="81" min="11530" max="11530"/>
    <col width="11.19921875" customWidth="1" style="81" min="11531" max="11531"/>
    <col width="11.5" bestFit="1" customWidth="1" style="81" min="11532" max="11532"/>
    <col width="11.296875" bestFit="1" customWidth="1" style="81" min="11533" max="11533"/>
    <col width="11.19921875" customWidth="1" style="81" min="11534" max="11776"/>
    <col width="3.796875" customWidth="1" style="81" min="11777" max="11777"/>
    <col width="5.796875" customWidth="1" style="81" min="11778" max="11778"/>
    <col width="8.796875" customWidth="1" style="81" min="11779" max="11779"/>
    <col width="26" customWidth="1" style="81" min="11780" max="11780"/>
    <col width="12.5" customWidth="1" style="81" min="11781" max="11781"/>
    <col width="7.296875" customWidth="1" style="81" min="11782" max="11782"/>
    <col width="13.296875" customWidth="1" style="81" min="11783" max="11783"/>
    <col width="12.296875" customWidth="1" style="81" min="11784" max="11784"/>
    <col width="15.5" customWidth="1" style="81" min="11785" max="11785"/>
    <col width="11.296875" bestFit="1" customWidth="1" style="81" min="11786" max="11786"/>
    <col width="11.19921875" customWidth="1" style="81" min="11787" max="11787"/>
    <col width="11.5" bestFit="1" customWidth="1" style="81" min="11788" max="11788"/>
    <col width="11.296875" bestFit="1" customWidth="1" style="81" min="11789" max="11789"/>
    <col width="11.19921875" customWidth="1" style="81" min="11790" max="12032"/>
    <col width="3.796875" customWidth="1" style="81" min="12033" max="12033"/>
    <col width="5.796875" customWidth="1" style="81" min="12034" max="12034"/>
    <col width="8.796875" customWidth="1" style="81" min="12035" max="12035"/>
    <col width="26" customWidth="1" style="81" min="12036" max="12036"/>
    <col width="12.5" customWidth="1" style="81" min="12037" max="12037"/>
    <col width="7.296875" customWidth="1" style="81" min="12038" max="12038"/>
    <col width="13.296875" customWidth="1" style="81" min="12039" max="12039"/>
    <col width="12.296875" customWidth="1" style="81" min="12040" max="12040"/>
    <col width="15.5" customWidth="1" style="81" min="12041" max="12041"/>
    <col width="11.296875" bestFit="1" customWidth="1" style="81" min="12042" max="12042"/>
    <col width="11.19921875" customWidth="1" style="81" min="12043" max="12043"/>
    <col width="11.5" bestFit="1" customWidth="1" style="81" min="12044" max="12044"/>
    <col width="11.296875" bestFit="1" customWidth="1" style="81" min="12045" max="12045"/>
    <col width="11.19921875" customWidth="1" style="81" min="12046" max="12288"/>
    <col width="3.796875" customWidth="1" style="81" min="12289" max="12289"/>
    <col width="5.796875" customWidth="1" style="81" min="12290" max="12290"/>
    <col width="8.796875" customWidth="1" style="81" min="12291" max="12291"/>
    <col width="26" customWidth="1" style="81" min="12292" max="12292"/>
    <col width="12.5" customWidth="1" style="81" min="12293" max="12293"/>
    <col width="7.296875" customWidth="1" style="81" min="12294" max="12294"/>
    <col width="13.296875" customWidth="1" style="81" min="12295" max="12295"/>
    <col width="12.296875" customWidth="1" style="81" min="12296" max="12296"/>
    <col width="15.5" customWidth="1" style="81" min="12297" max="12297"/>
    <col width="11.296875" bestFit="1" customWidth="1" style="81" min="12298" max="12298"/>
    <col width="11.19921875" customWidth="1" style="81" min="12299" max="12299"/>
    <col width="11.5" bestFit="1" customWidth="1" style="81" min="12300" max="12300"/>
    <col width="11.296875" bestFit="1" customWidth="1" style="81" min="12301" max="12301"/>
    <col width="11.19921875" customWidth="1" style="81" min="12302" max="12544"/>
    <col width="3.796875" customWidth="1" style="81" min="12545" max="12545"/>
    <col width="5.796875" customWidth="1" style="81" min="12546" max="12546"/>
    <col width="8.796875" customWidth="1" style="81" min="12547" max="12547"/>
    <col width="26" customWidth="1" style="81" min="12548" max="12548"/>
    <col width="12.5" customWidth="1" style="81" min="12549" max="12549"/>
    <col width="7.296875" customWidth="1" style="81" min="12550" max="12550"/>
    <col width="13.296875" customWidth="1" style="81" min="12551" max="12551"/>
    <col width="12.296875" customWidth="1" style="81" min="12552" max="12552"/>
    <col width="15.5" customWidth="1" style="81" min="12553" max="12553"/>
    <col width="11.296875" bestFit="1" customWidth="1" style="81" min="12554" max="12554"/>
    <col width="11.19921875" customWidth="1" style="81" min="12555" max="12555"/>
    <col width="11.5" bestFit="1" customWidth="1" style="81" min="12556" max="12556"/>
    <col width="11.296875" bestFit="1" customWidth="1" style="81" min="12557" max="12557"/>
    <col width="11.19921875" customWidth="1" style="81" min="12558" max="12800"/>
    <col width="3.796875" customWidth="1" style="81" min="12801" max="12801"/>
    <col width="5.796875" customWidth="1" style="81" min="12802" max="12802"/>
    <col width="8.796875" customWidth="1" style="81" min="12803" max="12803"/>
    <col width="26" customWidth="1" style="81" min="12804" max="12804"/>
    <col width="12.5" customWidth="1" style="81" min="12805" max="12805"/>
    <col width="7.296875" customWidth="1" style="81" min="12806" max="12806"/>
    <col width="13.296875" customWidth="1" style="81" min="12807" max="12807"/>
    <col width="12.296875" customWidth="1" style="81" min="12808" max="12808"/>
    <col width="15.5" customWidth="1" style="81" min="12809" max="12809"/>
    <col width="11.296875" bestFit="1" customWidth="1" style="81" min="12810" max="12810"/>
    <col width="11.19921875" customWidth="1" style="81" min="12811" max="12811"/>
    <col width="11.5" bestFit="1" customWidth="1" style="81" min="12812" max="12812"/>
    <col width="11.296875" bestFit="1" customWidth="1" style="81" min="12813" max="12813"/>
    <col width="11.19921875" customWidth="1" style="81" min="12814" max="13056"/>
    <col width="3.796875" customWidth="1" style="81" min="13057" max="13057"/>
    <col width="5.796875" customWidth="1" style="81" min="13058" max="13058"/>
    <col width="8.796875" customWidth="1" style="81" min="13059" max="13059"/>
    <col width="26" customWidth="1" style="81" min="13060" max="13060"/>
    <col width="12.5" customWidth="1" style="81" min="13061" max="13061"/>
    <col width="7.296875" customWidth="1" style="81" min="13062" max="13062"/>
    <col width="13.296875" customWidth="1" style="81" min="13063" max="13063"/>
    <col width="12.296875" customWidth="1" style="81" min="13064" max="13064"/>
    <col width="15.5" customWidth="1" style="81" min="13065" max="13065"/>
    <col width="11.296875" bestFit="1" customWidth="1" style="81" min="13066" max="13066"/>
    <col width="11.19921875" customWidth="1" style="81" min="13067" max="13067"/>
    <col width="11.5" bestFit="1" customWidth="1" style="81" min="13068" max="13068"/>
    <col width="11.296875" bestFit="1" customWidth="1" style="81" min="13069" max="13069"/>
    <col width="11.19921875" customWidth="1" style="81" min="13070" max="13312"/>
    <col width="3.796875" customWidth="1" style="81" min="13313" max="13313"/>
    <col width="5.796875" customWidth="1" style="81" min="13314" max="13314"/>
    <col width="8.796875" customWidth="1" style="81" min="13315" max="13315"/>
    <col width="26" customWidth="1" style="81" min="13316" max="13316"/>
    <col width="12.5" customWidth="1" style="81" min="13317" max="13317"/>
    <col width="7.296875" customWidth="1" style="81" min="13318" max="13318"/>
    <col width="13.296875" customWidth="1" style="81" min="13319" max="13319"/>
    <col width="12.296875" customWidth="1" style="81" min="13320" max="13320"/>
    <col width="15.5" customWidth="1" style="81" min="13321" max="13321"/>
    <col width="11.296875" bestFit="1" customWidth="1" style="81" min="13322" max="13322"/>
    <col width="11.19921875" customWidth="1" style="81" min="13323" max="13323"/>
    <col width="11.5" bestFit="1" customWidth="1" style="81" min="13324" max="13324"/>
    <col width="11.296875" bestFit="1" customWidth="1" style="81" min="13325" max="13325"/>
    <col width="11.19921875" customWidth="1" style="81" min="13326" max="13568"/>
    <col width="3.796875" customWidth="1" style="81" min="13569" max="13569"/>
    <col width="5.796875" customWidth="1" style="81" min="13570" max="13570"/>
    <col width="8.796875" customWidth="1" style="81" min="13571" max="13571"/>
    <col width="26" customWidth="1" style="81" min="13572" max="13572"/>
    <col width="12.5" customWidth="1" style="81" min="13573" max="13573"/>
    <col width="7.296875" customWidth="1" style="81" min="13574" max="13574"/>
    <col width="13.296875" customWidth="1" style="81" min="13575" max="13575"/>
    <col width="12.296875" customWidth="1" style="81" min="13576" max="13576"/>
    <col width="15.5" customWidth="1" style="81" min="13577" max="13577"/>
    <col width="11.296875" bestFit="1" customWidth="1" style="81" min="13578" max="13578"/>
    <col width="11.19921875" customWidth="1" style="81" min="13579" max="13579"/>
    <col width="11.5" bestFit="1" customWidth="1" style="81" min="13580" max="13580"/>
    <col width="11.296875" bestFit="1" customWidth="1" style="81" min="13581" max="13581"/>
    <col width="11.19921875" customWidth="1" style="81" min="13582" max="13824"/>
    <col width="3.796875" customWidth="1" style="81" min="13825" max="13825"/>
    <col width="5.796875" customWidth="1" style="81" min="13826" max="13826"/>
    <col width="8.796875" customWidth="1" style="81" min="13827" max="13827"/>
    <col width="26" customWidth="1" style="81" min="13828" max="13828"/>
    <col width="12.5" customWidth="1" style="81" min="13829" max="13829"/>
    <col width="7.296875" customWidth="1" style="81" min="13830" max="13830"/>
    <col width="13.296875" customWidth="1" style="81" min="13831" max="13831"/>
    <col width="12.296875" customWidth="1" style="81" min="13832" max="13832"/>
    <col width="15.5" customWidth="1" style="81" min="13833" max="13833"/>
    <col width="11.296875" bestFit="1" customWidth="1" style="81" min="13834" max="13834"/>
    <col width="11.19921875" customWidth="1" style="81" min="13835" max="13835"/>
    <col width="11.5" bestFit="1" customWidth="1" style="81" min="13836" max="13836"/>
    <col width="11.296875" bestFit="1" customWidth="1" style="81" min="13837" max="13837"/>
    <col width="11.19921875" customWidth="1" style="81" min="13838" max="14080"/>
    <col width="3.796875" customWidth="1" style="81" min="14081" max="14081"/>
    <col width="5.796875" customWidth="1" style="81" min="14082" max="14082"/>
    <col width="8.796875" customWidth="1" style="81" min="14083" max="14083"/>
    <col width="26" customWidth="1" style="81" min="14084" max="14084"/>
    <col width="12.5" customWidth="1" style="81" min="14085" max="14085"/>
    <col width="7.296875" customWidth="1" style="81" min="14086" max="14086"/>
    <col width="13.296875" customWidth="1" style="81" min="14087" max="14087"/>
    <col width="12.296875" customWidth="1" style="81" min="14088" max="14088"/>
    <col width="15.5" customWidth="1" style="81" min="14089" max="14089"/>
    <col width="11.296875" bestFit="1" customWidth="1" style="81" min="14090" max="14090"/>
    <col width="11.19921875" customWidth="1" style="81" min="14091" max="14091"/>
    <col width="11.5" bestFit="1" customWidth="1" style="81" min="14092" max="14092"/>
    <col width="11.296875" bestFit="1" customWidth="1" style="81" min="14093" max="14093"/>
    <col width="11.19921875" customWidth="1" style="81" min="14094" max="14336"/>
    <col width="3.796875" customWidth="1" style="81" min="14337" max="14337"/>
    <col width="5.796875" customWidth="1" style="81" min="14338" max="14338"/>
    <col width="8.796875" customWidth="1" style="81" min="14339" max="14339"/>
    <col width="26" customWidth="1" style="81" min="14340" max="14340"/>
    <col width="12.5" customWidth="1" style="81" min="14341" max="14341"/>
    <col width="7.296875" customWidth="1" style="81" min="14342" max="14342"/>
    <col width="13.296875" customWidth="1" style="81" min="14343" max="14343"/>
    <col width="12.296875" customWidth="1" style="81" min="14344" max="14344"/>
    <col width="15.5" customWidth="1" style="81" min="14345" max="14345"/>
    <col width="11.296875" bestFit="1" customWidth="1" style="81" min="14346" max="14346"/>
    <col width="11.19921875" customWidth="1" style="81" min="14347" max="14347"/>
    <col width="11.5" bestFit="1" customWidth="1" style="81" min="14348" max="14348"/>
    <col width="11.296875" bestFit="1" customWidth="1" style="81" min="14349" max="14349"/>
    <col width="11.19921875" customWidth="1" style="81" min="14350" max="14592"/>
    <col width="3.796875" customWidth="1" style="81" min="14593" max="14593"/>
    <col width="5.796875" customWidth="1" style="81" min="14594" max="14594"/>
    <col width="8.796875" customWidth="1" style="81" min="14595" max="14595"/>
    <col width="26" customWidth="1" style="81" min="14596" max="14596"/>
    <col width="12.5" customWidth="1" style="81" min="14597" max="14597"/>
    <col width="7.296875" customWidth="1" style="81" min="14598" max="14598"/>
    <col width="13.296875" customWidth="1" style="81" min="14599" max="14599"/>
    <col width="12.296875" customWidth="1" style="81" min="14600" max="14600"/>
    <col width="15.5" customWidth="1" style="81" min="14601" max="14601"/>
    <col width="11.296875" bestFit="1" customWidth="1" style="81" min="14602" max="14602"/>
    <col width="11.19921875" customWidth="1" style="81" min="14603" max="14603"/>
    <col width="11.5" bestFit="1" customWidth="1" style="81" min="14604" max="14604"/>
    <col width="11.296875" bestFit="1" customWidth="1" style="81" min="14605" max="14605"/>
    <col width="11.19921875" customWidth="1" style="81" min="14606" max="14848"/>
    <col width="3.796875" customWidth="1" style="81" min="14849" max="14849"/>
    <col width="5.796875" customWidth="1" style="81" min="14850" max="14850"/>
    <col width="8.796875" customWidth="1" style="81" min="14851" max="14851"/>
    <col width="26" customWidth="1" style="81" min="14852" max="14852"/>
    <col width="12.5" customWidth="1" style="81" min="14853" max="14853"/>
    <col width="7.296875" customWidth="1" style="81" min="14854" max="14854"/>
    <col width="13.296875" customWidth="1" style="81" min="14855" max="14855"/>
    <col width="12.296875" customWidth="1" style="81" min="14856" max="14856"/>
    <col width="15.5" customWidth="1" style="81" min="14857" max="14857"/>
    <col width="11.296875" bestFit="1" customWidth="1" style="81" min="14858" max="14858"/>
    <col width="11.19921875" customWidth="1" style="81" min="14859" max="14859"/>
    <col width="11.5" bestFit="1" customWidth="1" style="81" min="14860" max="14860"/>
    <col width="11.296875" bestFit="1" customWidth="1" style="81" min="14861" max="14861"/>
    <col width="11.19921875" customWidth="1" style="81" min="14862" max="15104"/>
    <col width="3.796875" customWidth="1" style="81" min="15105" max="15105"/>
    <col width="5.796875" customWidth="1" style="81" min="15106" max="15106"/>
    <col width="8.796875" customWidth="1" style="81" min="15107" max="15107"/>
    <col width="26" customWidth="1" style="81" min="15108" max="15108"/>
    <col width="12.5" customWidth="1" style="81" min="15109" max="15109"/>
    <col width="7.296875" customWidth="1" style="81" min="15110" max="15110"/>
    <col width="13.296875" customWidth="1" style="81" min="15111" max="15111"/>
    <col width="12.296875" customWidth="1" style="81" min="15112" max="15112"/>
    <col width="15.5" customWidth="1" style="81" min="15113" max="15113"/>
    <col width="11.296875" bestFit="1" customWidth="1" style="81" min="15114" max="15114"/>
    <col width="11.19921875" customWidth="1" style="81" min="15115" max="15115"/>
    <col width="11.5" bestFit="1" customWidth="1" style="81" min="15116" max="15116"/>
    <col width="11.296875" bestFit="1" customWidth="1" style="81" min="15117" max="15117"/>
    <col width="11.19921875" customWidth="1" style="81" min="15118" max="15360"/>
    <col width="3.796875" customWidth="1" style="81" min="15361" max="15361"/>
    <col width="5.796875" customWidth="1" style="81" min="15362" max="15362"/>
    <col width="8.796875" customWidth="1" style="81" min="15363" max="15363"/>
    <col width="26" customWidth="1" style="81" min="15364" max="15364"/>
    <col width="12.5" customWidth="1" style="81" min="15365" max="15365"/>
    <col width="7.296875" customWidth="1" style="81" min="15366" max="15366"/>
    <col width="13.296875" customWidth="1" style="81" min="15367" max="15367"/>
    <col width="12.296875" customWidth="1" style="81" min="15368" max="15368"/>
    <col width="15.5" customWidth="1" style="81" min="15369" max="15369"/>
    <col width="11.296875" bestFit="1" customWidth="1" style="81" min="15370" max="15370"/>
    <col width="11.19921875" customWidth="1" style="81" min="15371" max="15371"/>
    <col width="11.5" bestFit="1" customWidth="1" style="81" min="15372" max="15372"/>
    <col width="11.296875" bestFit="1" customWidth="1" style="81" min="15373" max="15373"/>
    <col width="11.19921875" customWidth="1" style="81" min="15374" max="15616"/>
    <col width="3.796875" customWidth="1" style="81" min="15617" max="15617"/>
    <col width="5.796875" customWidth="1" style="81" min="15618" max="15618"/>
    <col width="8.796875" customWidth="1" style="81" min="15619" max="15619"/>
    <col width="26" customWidth="1" style="81" min="15620" max="15620"/>
    <col width="12.5" customWidth="1" style="81" min="15621" max="15621"/>
    <col width="7.296875" customWidth="1" style="81" min="15622" max="15622"/>
    <col width="13.296875" customWidth="1" style="81" min="15623" max="15623"/>
    <col width="12.296875" customWidth="1" style="81" min="15624" max="15624"/>
    <col width="15.5" customWidth="1" style="81" min="15625" max="15625"/>
    <col width="11.296875" bestFit="1" customWidth="1" style="81" min="15626" max="15626"/>
    <col width="11.19921875" customWidth="1" style="81" min="15627" max="15627"/>
    <col width="11.5" bestFit="1" customWidth="1" style="81" min="15628" max="15628"/>
    <col width="11.296875" bestFit="1" customWidth="1" style="81" min="15629" max="15629"/>
    <col width="11.19921875" customWidth="1" style="81" min="15630" max="15872"/>
    <col width="3.796875" customWidth="1" style="81" min="15873" max="15873"/>
    <col width="5.796875" customWidth="1" style="81" min="15874" max="15874"/>
    <col width="8.796875" customWidth="1" style="81" min="15875" max="15875"/>
    <col width="26" customWidth="1" style="81" min="15876" max="15876"/>
    <col width="12.5" customWidth="1" style="81" min="15877" max="15877"/>
    <col width="7.296875" customWidth="1" style="81" min="15878" max="15878"/>
    <col width="13.296875" customWidth="1" style="81" min="15879" max="15879"/>
    <col width="12.296875" customWidth="1" style="81" min="15880" max="15880"/>
    <col width="15.5" customWidth="1" style="81" min="15881" max="15881"/>
    <col width="11.296875" bestFit="1" customWidth="1" style="81" min="15882" max="15882"/>
    <col width="11.19921875" customWidth="1" style="81" min="15883" max="15883"/>
    <col width="11.5" bestFit="1" customWidth="1" style="81" min="15884" max="15884"/>
    <col width="11.296875" bestFit="1" customWidth="1" style="81" min="15885" max="15885"/>
    <col width="11.19921875" customWidth="1" style="81" min="15886" max="16128"/>
    <col width="3.796875" customWidth="1" style="81" min="16129" max="16129"/>
    <col width="5.796875" customWidth="1" style="81" min="16130" max="16130"/>
    <col width="8.796875" customWidth="1" style="81" min="16131" max="16131"/>
    <col width="26" customWidth="1" style="81" min="16132" max="16132"/>
    <col width="12.5" customWidth="1" style="81" min="16133" max="16133"/>
    <col width="7.296875" customWidth="1" style="81" min="16134" max="16134"/>
    <col width="13.296875" customWidth="1" style="81" min="16135" max="16135"/>
    <col width="12.296875" customWidth="1" style="81" min="16136" max="16136"/>
    <col width="15.5" customWidth="1" style="81" min="16137" max="16137"/>
    <col width="11.296875" bestFit="1" customWidth="1" style="81" min="16138" max="16138"/>
    <col width="11.19921875" customWidth="1" style="81" min="16139" max="16139"/>
    <col width="11.5" bestFit="1" customWidth="1" style="81" min="16140" max="16140"/>
    <col width="11.296875" bestFit="1" customWidth="1" style="81" min="16141" max="16141"/>
    <col width="11.19921875" customWidth="1" style="81" min="16142" max="16384"/>
  </cols>
  <sheetData>
    <row r="1" ht="33.75" customFormat="1" customHeight="1" s="2" thickBot="1">
      <c r="F1" s="132" t="n"/>
      <c r="G1" s="149" t="n"/>
      <c r="H1" s="149" t="n"/>
      <c r="I1" s="149" t="n"/>
      <c r="N1" s="3" t="n"/>
      <c r="O1" s="3" t="n"/>
      <c r="P1" s="3" t="n"/>
      <c r="Q1" s="3" t="n"/>
      <c r="R1" s="3" t="n"/>
    </row>
    <row r="2" ht="34.5" customFormat="1" customHeight="1" s="2" thickBot="1">
      <c r="B2" s="150" t="inlineStr">
        <is>
          <t>기 술 지 원    견  적  서</t>
        </is>
      </c>
      <c r="C2" s="151" t="n"/>
      <c r="D2" s="151" t="n"/>
      <c r="E2" s="151" t="n"/>
      <c r="F2" s="151" t="n"/>
      <c r="G2" s="151" t="n"/>
      <c r="H2" s="151" t="n"/>
      <c r="I2" s="152" t="n"/>
      <c r="M2" s="4" t="inlineStr">
        <is>
          <t xml:space="preserve">* 기능개`발 기술지원 견적의 경우 비상주 개발 지원 견적입니다. 
* 기술협의를 통한 상세 업무 분석 후 제안 공수 및 금액이 변경될 수 있습니다. 
* 유지보수 
  - 본 사업은 전자결재 연동 고도화사업임으로 무상하자보수기간은 적용 되지 않습니다. </t>
        </is>
      </c>
      <c r="N2" s="3" t="n"/>
      <c r="O2" s="3" t="n"/>
      <c r="P2" s="3" t="n"/>
      <c r="Q2" s="3" t="n"/>
      <c r="R2" s="3" t="n"/>
    </row>
    <row r="3" ht="19.95" customFormat="1" customHeight="1" s="2">
      <c r="B3" s="136" t="inlineStr">
        <is>
          <t>◦ 견적 번호      :</t>
        </is>
      </c>
      <c r="C3" s="153" t="n"/>
      <c r="D3" s="5" t="inlineStr">
        <is>
          <t>KAONI-CS2602107</t>
        </is>
      </c>
      <c r="E3" s="5" t="n"/>
      <c r="F3" s="5" t="n"/>
      <c r="G3" s="6" t="inlineStr">
        <is>
          <t>◦ 상       호   :</t>
        </is>
      </c>
      <c r="H3" s="154" t="inlineStr">
        <is>
          <t xml:space="preserve"> ㈜가온아이</t>
        </is>
      </c>
      <c r="I3" s="8" t="n"/>
      <c r="N3" s="3" t="n"/>
      <c r="O3" s="3" t="n"/>
      <c r="P3" s="3" t="n"/>
      <c r="Q3" s="3" t="n"/>
      <c r="R3" s="3" t="n"/>
    </row>
    <row r="4" ht="19.95" customFormat="1" customHeight="1" s="2">
      <c r="B4" s="109" t="inlineStr">
        <is>
          <t>◦ 수       신      :</t>
        </is>
      </c>
      <c r="C4" s="155" t="n"/>
      <c r="D4" s="5" t="inlineStr">
        <is>
          <t>유한양행</t>
        </is>
      </c>
      <c r="E4" s="9" t="n"/>
      <c r="F4" s="10" t="n"/>
      <c r="G4" s="11" t="inlineStr">
        <is>
          <t>◦ 대표 이사   :</t>
        </is>
      </c>
      <c r="H4" s="156" t="inlineStr">
        <is>
          <t>조  창  제          (인)</t>
        </is>
      </c>
      <c r="I4" s="13" t="n"/>
      <c r="N4" s="3" t="n"/>
      <c r="O4" s="3" t="n"/>
      <c r="P4" s="3" t="n"/>
      <c r="Q4" s="3" t="n"/>
      <c r="R4" s="3" t="n"/>
    </row>
    <row r="5" ht="19.95" customFormat="1" customHeight="1" s="2">
      <c r="B5" s="109" t="inlineStr">
        <is>
          <t>◦ 참       조      :</t>
        </is>
      </c>
      <c r="C5" s="155" t="n"/>
      <c r="D5" s="5" t="n"/>
      <c r="E5" s="157" t="n"/>
      <c r="F5" s="10" t="n"/>
      <c r="G5" s="11" t="inlineStr">
        <is>
          <t>◦ 담  당  자   :</t>
        </is>
      </c>
      <c r="H5" s="156" t="inlineStr">
        <is>
          <t>CS사업부 / 이효섭 팀장</t>
        </is>
      </c>
      <c r="I5" s="15" t="n"/>
      <c r="N5" s="3" t="n"/>
      <c r="O5" s="3" t="n"/>
      <c r="P5" s="3" t="n"/>
      <c r="Q5" s="3" t="n"/>
      <c r="R5" s="3" t="n"/>
    </row>
    <row r="6" ht="19.95" customFormat="1" customHeight="1" s="2">
      <c r="B6" s="109" t="inlineStr">
        <is>
          <t>◦ 견적 일자      :</t>
        </is>
      </c>
      <c r="C6" s="155" t="n"/>
      <c r="D6" s="157" t="n">
        <v>46063</v>
      </c>
      <c r="E6" s="15" t="n"/>
      <c r="F6" s="10" t="n"/>
      <c r="G6" s="11" t="inlineStr">
        <is>
          <t>◦ 전화 번호   :</t>
        </is>
      </c>
      <c r="H6" s="156" t="inlineStr">
        <is>
          <t>02-2140-5808 / 010-4233-6876</t>
        </is>
      </c>
      <c r="I6" s="15" t="n"/>
      <c r="N6" s="3" t="n"/>
      <c r="O6" s="3" t="n"/>
      <c r="P6" s="3" t="n"/>
      <c r="Q6" s="3" t="n"/>
      <c r="R6" s="3" t="n"/>
    </row>
    <row r="7" ht="19.95" customFormat="1" customHeight="1" s="2">
      <c r="B7" s="109" t="inlineStr">
        <is>
          <t>◦ 견적 유효      :</t>
        </is>
      </c>
      <c r="C7" s="155" t="n"/>
      <c r="D7" s="15" t="inlineStr">
        <is>
          <t>견적일로 부터 60일 이내</t>
        </is>
      </c>
      <c r="E7" s="16" t="n"/>
      <c r="F7" s="10" t="n"/>
      <c r="G7" s="11" t="inlineStr">
        <is>
          <t>◦  e - Mail    :</t>
        </is>
      </c>
      <c r="H7" s="158" t="inlineStr">
        <is>
          <t>lisobking@kaoni.com</t>
        </is>
      </c>
      <c r="I7" s="15" t="n"/>
      <c r="N7" s="3" t="n"/>
      <c r="O7" s="3" t="n"/>
      <c r="P7" s="3" t="n"/>
      <c r="Q7" s="3" t="n"/>
      <c r="R7" s="3" t="n"/>
    </row>
    <row r="8" ht="19.95" customFormat="1" customHeight="1" s="2">
      <c r="B8" s="110" t="inlineStr">
        <is>
          <t>◦ 수신 팩스      :</t>
        </is>
      </c>
      <c r="C8" s="159" t="n"/>
      <c r="D8" s="18" t="inlineStr">
        <is>
          <t>02-2140-5888</t>
        </is>
      </c>
      <c r="E8" s="18" t="n"/>
      <c r="F8" s="18" t="n"/>
      <c r="G8" s="19" t="n"/>
      <c r="H8" s="160" t="n"/>
      <c r="I8" s="21" t="n"/>
      <c r="N8" s="3" t="n"/>
      <c r="O8" s="3" t="n"/>
      <c r="P8" s="3" t="n"/>
      <c r="Q8" s="3" t="n"/>
      <c r="R8" s="3" t="n"/>
    </row>
    <row r="9" ht="36" customFormat="1" customHeight="1" s="2" thickBot="1">
      <c r="B9" s="22" t="inlineStr">
        <is>
          <t xml:space="preserve">유한양행 "신규양식 2종 포함 총 양식 6종 및 SSO 모듈 추가 기술지원"건으로 아래와 같이 견적을 제출 합니다. </t>
        </is>
      </c>
      <c r="D9" s="23" t="n"/>
      <c r="E9" s="23" t="n"/>
      <c r="F9" s="23" t="n"/>
      <c r="G9" s="24" t="n"/>
      <c r="H9" s="161" t="n"/>
      <c r="I9" s="23" t="n"/>
      <c r="L9" s="2" t="inlineStr">
        <is>
          <t>메일 39</t>
        </is>
      </c>
      <c r="M9" s="2" t="n">
        <v>39</v>
      </c>
      <c r="N9" s="3" t="n"/>
      <c r="O9" s="3" t="n"/>
      <c r="P9" s="3" t="n"/>
      <c r="Q9" s="3" t="n"/>
      <c r="R9" s="3" t="n"/>
    </row>
    <row r="10" ht="22.5" customFormat="1" customHeight="1" s="2">
      <c r="B10" s="162" t="inlineStr">
        <is>
          <t>제안금액 :일금일억삼천오백만원정 (₩135,000,000) V.A.T 별도</t>
        </is>
      </c>
      <c r="C10" s="163" t="n"/>
      <c r="D10" s="163" t="n"/>
      <c r="E10" s="163" t="n"/>
      <c r="F10" s="28" t="n"/>
      <c r="G10" s="29" t="n"/>
      <c r="H10" s="164" t="n"/>
      <c r="I10" s="29" t="n"/>
      <c r="J10" s="31" t="inlineStr">
        <is>
          <t>부가세여부</t>
        </is>
      </c>
      <c r="L10" s="2" t="inlineStr">
        <is>
          <t>결재 110</t>
        </is>
      </c>
      <c r="M10" s="2" t="n">
        <v>110</v>
      </c>
      <c r="N10" s="3" t="n"/>
      <c r="O10" s="3" t="n"/>
      <c r="P10" s="3" t="n"/>
      <c r="Q10" s="3" t="n"/>
      <c r="R10" s="3" t="n"/>
    </row>
    <row r="11" ht="24" customFormat="1" customHeight="1" s="2" thickBot="1">
      <c r="B11" s="32" t="inlineStr">
        <is>
          <t>1. 그룹웨어시스템 기능개발</t>
        </is>
      </c>
      <c r="C11" s="33" t="n"/>
      <c r="D11" s="34" t="n"/>
      <c r="E11" s="34" t="n"/>
      <c r="F11" s="34" t="n"/>
      <c r="G11" s="34" t="n"/>
      <c r="H11" s="165" t="n"/>
      <c r="I11" s="36">
        <f>"단위:원 / "&amp;IF(J11=0, "VAT별도","VAT포함")</f>
        <v/>
      </c>
      <c r="J11" s="37" t="n">
        <v>0</v>
      </c>
      <c r="L11" s="2" t="inlineStr">
        <is>
          <t>일정 9</t>
        </is>
      </c>
      <c r="M11" s="2" t="n">
        <v>9</v>
      </c>
      <c r="N11" s="3" t="n"/>
      <c r="O11" s="3" t="n"/>
      <c r="P11" s="3" t="n"/>
      <c r="Q11" s="3" t="n"/>
      <c r="R11" s="3" t="n"/>
    </row>
    <row r="12" ht="27" customFormat="1" customHeight="1" s="38">
      <c r="B12" s="85" t="inlineStr">
        <is>
          <t>구분</t>
        </is>
      </c>
      <c r="C12" s="87" t="inlineStr">
        <is>
          <t>내 역</t>
        </is>
      </c>
      <c r="D12" s="166" t="n"/>
      <c r="E12" s="167" t="n"/>
      <c r="F12" s="86" t="inlineStr">
        <is>
          <t>수량</t>
        </is>
      </c>
      <c r="G12" s="87" t="inlineStr">
        <is>
          <t>소비자가</t>
        </is>
      </c>
      <c r="H12" s="168" t="inlineStr">
        <is>
          <t>합계</t>
        </is>
      </c>
      <c r="I12" s="89" t="inlineStr">
        <is>
          <t>제안가 합계</t>
        </is>
      </c>
      <c r="L12" s="38" t="inlineStr">
        <is>
          <t>자원 13</t>
        </is>
      </c>
      <c r="M12" s="2" t="n">
        <v>13</v>
      </c>
      <c r="N12" s="39" t="n"/>
      <c r="O12" s="39" t="n"/>
      <c r="P12" s="39" t="n"/>
    </row>
    <row r="13" ht="16.95" customFormat="1" customHeight="1" s="44">
      <c r="B13" s="169" t="inlineStr">
        <is>
          <t>개발기술지원</t>
        </is>
      </c>
      <c r="C13" s="40" t="inlineStr">
        <is>
          <t>기능별</t>
        </is>
      </c>
      <c r="D13" s="170" t="inlineStr">
        <is>
          <t>항목 구분</t>
        </is>
      </c>
      <c r="E13" s="171" t="n"/>
      <c r="F13" s="172" t="inlineStr">
        <is>
          <t>M/M</t>
        </is>
      </c>
      <c r="G13" s="173" t="inlineStr">
        <is>
          <t>단가</t>
        </is>
      </c>
      <c r="H13" s="173" t="inlineStr">
        <is>
          <t>합계</t>
        </is>
      </c>
      <c r="I13" s="174" t="inlineStr">
        <is>
          <t>제안금액</t>
        </is>
      </c>
      <c r="L13" s="44" t="inlineStr">
        <is>
          <t>메신저 2</t>
        </is>
      </c>
      <c r="M13" s="2" t="n">
        <v>2</v>
      </c>
    </row>
    <row r="14" ht="19.8" customFormat="1" customHeight="1" s="44">
      <c r="B14" s="175" t="n"/>
      <c r="C14" s="45" t="inlineStr">
        <is>
          <t>관리</t>
        </is>
      </c>
      <c r="D14" s="176" t="inlineStr">
        <is>
          <t>* 양식 추가</t>
        </is>
      </c>
      <c r="E14" s="177" t="n"/>
      <c r="F14" s="178" t="n">
        <v>0.25</v>
      </c>
      <c r="G14" s="179" t="n">
        <v>13500000</v>
      </c>
      <c r="H14" s="179">
        <f>F14*G14*20</f>
        <v/>
      </c>
      <c r="I14" s="180">
        <f>SUM(H14:H16)</f>
        <v/>
      </c>
      <c r="L14" s="44" t="inlineStr">
        <is>
          <t>기타 8</t>
        </is>
      </c>
      <c r="M14" s="2" t="n">
        <v>8</v>
      </c>
    </row>
    <row r="15" ht="19.8" customFormat="1" customHeight="1" s="44">
      <c r="B15" s="175" t="n"/>
      <c r="C15" s="45" t="inlineStr">
        <is>
          <t>설계</t>
        </is>
      </c>
      <c r="D15" s="176" t="inlineStr">
        <is>
          <t>* 양식 수정</t>
        </is>
      </c>
      <c r="E15" s="177" t="n"/>
      <c r="F15" s="178" t="n">
        <v>0.1</v>
      </c>
      <c r="G15" s="181" t="n"/>
      <c r="H15" s="179">
        <f>F15*G14*20</f>
        <v/>
      </c>
      <c r="L15" s="44" t="inlineStr">
        <is>
          <t>기타 8</t>
        </is>
      </c>
      <c r="M15" s="2" t="n">
        <v>8</v>
      </c>
    </row>
    <row r="16" ht="19.8" customFormat="1" customHeight="1" s="44">
      <c r="B16" s="175" t="n"/>
      <c r="C16" s="45" t="inlineStr">
        <is>
          <t>개발</t>
        </is>
      </c>
      <c r="D16" s="182" t="inlineStr">
        <is>
          <t>* SSO</t>
        </is>
      </c>
      <c r="E16" s="177" t="n"/>
      <c r="F16" s="178" t="n">
        <v>0.15</v>
      </c>
      <c r="G16" s="181" t="n"/>
      <c r="H16" s="179">
        <f>F16*G14*20</f>
        <v/>
      </c>
      <c r="M16" s="44">
        <f>SUM(M9:M15)</f>
        <v/>
      </c>
    </row>
    <row r="17" ht="19.8" customFormat="1" customHeight="1" s="44" thickBot="1">
      <c r="B17" s="183" t="n"/>
      <c r="C17" s="45" t="inlineStr">
        <is>
          <t>이행</t>
        </is>
      </c>
      <c r="D17" s="176" t="inlineStr">
        <is>
          <t>* 테스트 및 운영서버 반영</t>
        </is>
      </c>
      <c r="E17" s="177" t="n"/>
      <c r="F17" s="178" t="n"/>
      <c r="G17" s="184" t="n"/>
      <c r="H17" s="173">
        <f>G14*F17</f>
        <v/>
      </c>
    </row>
    <row r="18" ht="16.95" customFormat="1" customHeight="1" s="44">
      <c r="C18" s="185" t="inlineStr">
        <is>
          <t>가온아이 노임단가 기준 소계</t>
        </is>
      </c>
      <c r="D18" s="186" t="n"/>
      <c r="E18" s="187" t="n"/>
      <c r="F18" s="188">
        <f>SUM(F14:F16)</f>
        <v/>
      </c>
      <c r="G18" s="189">
        <f>G14</f>
        <v/>
      </c>
      <c r="H18" s="190">
        <f>SUM(H14:H16)</f>
        <v/>
      </c>
      <c r="J18" s="49" t="inlineStr">
        <is>
          <t>적용요율</t>
        </is>
      </c>
    </row>
    <row r="19" ht="16.95" customFormat="1" customHeight="1" s="44" thickBot="1">
      <c r="C19" s="191" t="inlineStr">
        <is>
          <t>소 계</t>
        </is>
      </c>
      <c r="D19" s="192" t="n"/>
      <c r="E19" s="192" t="n"/>
      <c r="F19" s="192" t="n"/>
      <c r="G19" s="192" t="n"/>
      <c r="H19" s="193" t="n"/>
      <c r="I19" s="194">
        <f>SUM(I14:I16)</f>
        <v/>
      </c>
      <c r="J19" s="50" t="n">
        <v>0.06</v>
      </c>
    </row>
    <row r="20" ht="16.95" customFormat="1" customHeight="1" s="58">
      <c r="A20" s="51" t="n"/>
      <c r="B20" s="52" t="n"/>
      <c r="C20" s="53" t="n"/>
      <c r="D20" s="54" t="n"/>
      <c r="E20" s="54" t="n"/>
      <c r="F20" s="55" t="n"/>
      <c r="G20" s="195" t="n"/>
      <c r="H20" s="195" t="n"/>
      <c r="I20" s="196" t="n"/>
    </row>
    <row r="21" hidden="1" ht="18" customFormat="1" customHeight="1" s="58">
      <c r="A21" s="51" t="n"/>
      <c r="B21" s="59" t="n"/>
      <c r="C21" s="60" t="inlineStr">
        <is>
          <t>공급금액</t>
        </is>
      </c>
      <c r="D21" s="197" t="inlineStr">
        <is>
          <t>기준</t>
        </is>
      </c>
      <c r="E21" s="198" t="n"/>
      <c r="F21" s="60" t="inlineStr">
        <is>
          <t>납품금액</t>
        </is>
      </c>
      <c r="G21" s="199" t="inlineStr">
        <is>
          <t>년유지보수료</t>
        </is>
      </c>
      <c r="H21" s="200" t="inlineStr">
        <is>
          <t>월유지보수료</t>
        </is>
      </c>
      <c r="I21" s="201" t="n"/>
    </row>
    <row r="22" hidden="1" ht="16.95" customFormat="1" customHeight="1" s="58">
      <c r="A22" s="51" t="n"/>
      <c r="B22" s="59" t="n"/>
      <c r="C22" s="202" t="n"/>
      <c r="D22" s="203" t="inlineStr">
        <is>
          <t>그룹웨어 공급단가</t>
        </is>
      </c>
      <c r="E22" s="204" t="n"/>
      <c r="F22" s="205" t="n">
        <v>782099993</v>
      </c>
      <c r="G22" s="206">
        <f>F22*0.06</f>
        <v/>
      </c>
      <c r="H22" s="207">
        <f>G22/12</f>
        <v/>
      </c>
      <c r="I22" s="201" t="n"/>
    </row>
    <row r="23" hidden="1" ht="16.5" customFormat="1" customHeight="1" s="58">
      <c r="A23" s="51" t="n"/>
      <c r="B23" s="59" t="n"/>
      <c r="C23" s="208" t="n"/>
      <c r="D23" s="209" t="n"/>
      <c r="E23" s="210" t="n"/>
      <c r="F23" s="211" t="n"/>
      <c r="G23" s="212">
        <f>F23*15%</f>
        <v/>
      </c>
      <c r="H23" s="213" t="n"/>
      <c r="I23" s="201" t="n"/>
    </row>
    <row r="24" ht="16.95" customFormat="1" customHeight="1" s="58">
      <c r="A24" s="51" t="n"/>
      <c r="B24" s="59" t="n"/>
      <c r="D24" s="70" t="n"/>
      <c r="E24" s="70" t="n"/>
      <c r="F24" s="71" t="n"/>
      <c r="G24" s="214" t="n"/>
      <c r="H24" s="215" t="n"/>
      <c r="I24" s="201" t="n"/>
    </row>
    <row r="25" ht="21.75" customFormat="1" customHeight="1" s="78" thickBot="1">
      <c r="A25" s="81" t="n"/>
      <c r="B25" s="216">
        <f>"제  안  금  액  합  계"&amp;IF(J11=0," (V.A.T 별도)"," (V.A.T 포함)")</f>
        <v/>
      </c>
      <c r="C25" s="217" t="n"/>
      <c r="D25" s="217" t="n"/>
      <c r="E25" s="217" t="n"/>
      <c r="F25" s="217" t="n"/>
      <c r="G25" s="217" t="n"/>
      <c r="H25" s="218" t="n"/>
      <c r="I25" s="219">
        <f>I19</f>
        <v/>
      </c>
      <c r="J25" s="220" t="n"/>
      <c r="K25" s="81" t="n"/>
      <c r="L25" s="148" t="n"/>
      <c r="M25" s="220" t="n"/>
    </row>
    <row r="26" ht="16.2" customFormat="1" customHeight="1" s="78" thickBot="1">
      <c r="A26" s="81" t="n"/>
      <c r="B26" s="80" t="n"/>
      <c r="C26" s="80" t="n"/>
      <c r="D26" s="81" t="n"/>
      <c r="E26" s="81" t="n"/>
      <c r="F26" s="81" t="n"/>
      <c r="G26" s="148" t="n"/>
      <c r="H26" s="148" t="n"/>
      <c r="I26" s="148" t="n"/>
      <c r="J26" s="81" t="inlineStr">
        <is>
          <t>ㅣ</t>
        </is>
      </c>
      <c r="K26" s="81" t="n"/>
      <c r="L26" s="81" t="n"/>
      <c r="M26" s="81" t="n"/>
    </row>
    <row r="27" ht="80.55" customFormat="1" customHeight="1" s="78" thickBot="1">
      <c r="A27" s="81" t="n"/>
      <c r="B27" s="83" t="inlineStr">
        <is>
          <t>비       고</t>
        </is>
      </c>
      <c r="C27" s="221" t="inlineStr">
        <is>
          <t xml:space="preserve">* 본 견적은 유한양행 그룹웨어 요구사항을 취합한 추가개발 기술지원 견적입니다. 
* 기술협의를 통한 상세 업무 분석 후 제안 공수 및 금액이 변경될 수 있습니다.
* 해당사업은 단순기술지원 개선으로 산출물 미제공, Test 최소 지원의 견적입니다. .
* 유지보수 
  - 본 사업은 그룹웨어 추가개발 기술지원사업임으로 무상하자보수기간은 적용 되지 않습니다. </t>
        </is>
      </c>
      <c r="D27" s="151" t="n"/>
      <c r="E27" s="151" t="n"/>
      <c r="F27" s="151" t="n"/>
      <c r="G27" s="151" t="n"/>
      <c r="H27" s="151" t="n"/>
      <c r="I27" s="152" t="n"/>
      <c r="J27" s="81" t="n"/>
      <c r="K27" s="81" t="n"/>
      <c r="L27" s="81" t="n"/>
      <c r="M27" s="81" t="n"/>
    </row>
    <row r="28" customFormat="1" s="78">
      <c r="A28" s="81" t="n"/>
      <c r="B28" s="84" t="n"/>
      <c r="C28" s="84" t="n"/>
      <c r="D28" s="81" t="n"/>
      <c r="E28" s="81" t="n"/>
      <c r="F28" s="148" t="n"/>
      <c r="G28" s="148" t="n"/>
      <c r="H28" s="148" t="n"/>
      <c r="I28" s="81" t="n"/>
      <c r="J28" s="81" t="n"/>
      <c r="K28" s="81" t="n"/>
      <c r="L28" s="81" t="n"/>
      <c r="M28" s="81" t="n"/>
    </row>
    <row r="29"/>
    <row r="30"/>
    <row r="31"/>
    <row r="32"/>
    <row r="33"/>
    <row r="34"/>
    <row r="35"/>
    <row r="36"/>
    <row r="37"/>
    <row r="38"/>
    <row r="39"/>
  </sheetData>
  <mergeCells count="24">
    <mergeCell ref="C21:C23"/>
    <mergeCell ref="B7:C7"/>
    <mergeCell ref="B3:C3"/>
    <mergeCell ref="D22:E22"/>
    <mergeCell ref="C12:E12"/>
    <mergeCell ref="D21:E21"/>
    <mergeCell ref="F1:I1"/>
    <mergeCell ref="D13:E13"/>
    <mergeCell ref="B2:I2"/>
    <mergeCell ref="B25:H25"/>
    <mergeCell ref="B8:C8"/>
    <mergeCell ref="D17:E17"/>
    <mergeCell ref="D16:E16"/>
    <mergeCell ref="C19:H19"/>
    <mergeCell ref="G14:G17"/>
    <mergeCell ref="C18:E18"/>
    <mergeCell ref="B6:C6"/>
    <mergeCell ref="B4:C4"/>
    <mergeCell ref="D15:E15"/>
    <mergeCell ref="B5:C5"/>
    <mergeCell ref="D23:E23"/>
    <mergeCell ref="D14:E14"/>
    <mergeCell ref="B13:B17"/>
    <mergeCell ref="C27:I27"/>
  </mergeCells>
  <hyperlinks>
    <hyperlink xmlns:r="http://schemas.openxmlformats.org/officeDocument/2006/relationships" ref="H7" r:id="rId1"/>
  </hyperlinks>
  <printOptions horizontalCentered="1"/>
  <pageMargins left="0.07874015748031496" right="0.07874015748031496" top="0.07874015748031496" bottom="0.8267716535433072" header="0.07874015748031496" footer="0.07874015748031496"/>
  <pageSetup orientation="portrait" paperSize="9" scale="91"/>
  <drawing xmlns:r="http://schemas.openxmlformats.org/officeDocument/2006/relationships" r:id="rId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3:F50"/>
  <sheetViews>
    <sheetView workbookViewId="0">
      <selection activeCell="F5" sqref="F5"/>
    </sheetView>
  </sheetViews>
  <sheetFormatPr baseColWidth="8" defaultColWidth="8.69921875" defaultRowHeight="15.6"/>
  <cols>
    <col width="8.69921875" customWidth="1" style="138" min="1" max="1"/>
    <col width="12.296875" customWidth="1" style="138" min="2" max="2"/>
    <col width="30.796875" bestFit="1" customWidth="1" style="147" min="3" max="3"/>
    <col width="28.69921875" customWidth="1" style="147" min="4" max="4"/>
    <col width="56.296875" customWidth="1" style="147" min="5" max="5"/>
    <col width="16.09765625" customWidth="1" style="146" min="6" max="6"/>
    <col width="8.69921875" customWidth="1" style="138" min="7" max="16384"/>
  </cols>
  <sheetData>
    <row r="3">
      <c r="A3" s="137" t="inlineStr">
        <is>
          <t>순번</t>
        </is>
      </c>
      <c r="B3" s="137" t="inlineStr">
        <is>
          <t>항목</t>
        </is>
      </c>
      <c r="C3" s="137" t="inlineStr">
        <is>
          <t>요구사항</t>
        </is>
      </c>
      <c r="D3" s="137" t="n"/>
      <c r="E3" s="137" t="inlineStr">
        <is>
          <t>개발자 의견</t>
        </is>
      </c>
      <c r="F3" s="137" t="inlineStr">
        <is>
          <t>공수(단위:M/D)</t>
        </is>
      </c>
    </row>
    <row r="4">
      <c r="A4" s="139" t="n">
        <v>1</v>
      </c>
      <c r="B4" s="139" t="n"/>
      <c r="C4" s="140" t="n"/>
      <c r="D4" s="140" t="n"/>
      <c r="E4" s="140" t="n"/>
      <c r="F4" s="139" t="n"/>
    </row>
    <row r="5" ht="60.6" customHeight="1" s="222">
      <c r="A5" s="141" t="n">
        <v>1.1</v>
      </c>
      <c r="B5" s="141" t="inlineStr">
        <is>
          <t>양식 추가</t>
        </is>
      </c>
      <c r="C5" s="142" t="inlineStr">
        <is>
          <t>기존에 없는 새로운 양식 2가지 추가
1. 자격증 취득 계획서
2. 자격증 결과 보고서</t>
        </is>
      </c>
      <c r="D5" s="142" t="n"/>
      <c r="E5" s="143" t="inlineStr">
        <is>
          <t>전자인장 개발 시 책정했던 양식과 동일 공수 산정 예상</t>
        </is>
      </c>
      <c r="F5" s="141" t="n">
        <v>5</v>
      </c>
    </row>
    <row r="6" ht="60.6" customHeight="1" s="222">
      <c r="A6" s="141" t="n">
        <v>1.2</v>
      </c>
      <c r="B6" s="141" t="inlineStr">
        <is>
          <t>양식 수정</t>
        </is>
      </c>
      <c r="C6" s="142" t="inlineStr">
        <is>
          <t>기존 4종에 대한 양식 수정</t>
        </is>
      </c>
      <c r="D6" s="142" t="n"/>
      <c r="E6" s="143" t="inlineStr">
        <is>
          <t>1. 양식 연동 소스 수정 1 M/D
2. 양식 연동 소스 테스트  1M/D</t>
        </is>
      </c>
      <c r="F6" s="141" t="n">
        <v>2</v>
      </c>
    </row>
    <row r="7" ht="70.95" customFormat="1" customHeight="1" s="145">
      <c r="A7" s="141" t="n">
        <v>2.1</v>
      </c>
      <c r="B7" s="144" t="inlineStr">
        <is>
          <t>SSO</t>
        </is>
      </c>
      <c r="C7" s="142" t="inlineStr">
        <is>
          <t>기존 사용한 SSO URL 변경</t>
        </is>
      </c>
      <c r="D7" s="142" t="n"/>
      <c r="E7" s="143" t="inlineStr">
        <is>
          <t>1. appsettings.json 변경
2. 관리자 페이지 &gt; SSO 연계시스템 등록 변경
3. 언어팩 추가
4. 양식 formID별 하드코딩 분기 소스에 추가</t>
        </is>
      </c>
      <c r="F7" s="141" t="n">
        <v>3</v>
      </c>
    </row>
    <row r="8">
      <c r="A8" s="146" t="n"/>
      <c r="B8" s="146" t="n"/>
    </row>
    <row r="9">
      <c r="A9" s="146" t="n"/>
      <c r="B9" s="146" t="n"/>
    </row>
    <row r="10">
      <c r="A10" s="146" t="n"/>
      <c r="B10" s="146" t="n"/>
    </row>
    <row r="11">
      <c r="A11" s="146" t="n"/>
      <c r="B11" s="146" t="n"/>
    </row>
    <row r="12">
      <c r="A12" s="146" t="n"/>
      <c r="B12" s="146" t="n"/>
    </row>
    <row r="13">
      <c r="A13" s="146" t="n"/>
      <c r="B13" s="146" t="n"/>
    </row>
    <row r="14">
      <c r="A14" s="146" t="n"/>
      <c r="B14" s="146" t="n"/>
    </row>
    <row r="15">
      <c r="A15" s="146" t="n"/>
      <c r="B15" s="146" t="n"/>
    </row>
    <row r="16">
      <c r="A16" s="146" t="n"/>
      <c r="B16" s="146" t="n"/>
    </row>
    <row r="17">
      <c r="A17" s="146" t="n"/>
      <c r="B17" s="146" t="n"/>
    </row>
    <row r="18">
      <c r="A18" s="146" t="n"/>
      <c r="B18" s="146" t="n"/>
    </row>
    <row r="19">
      <c r="A19" s="146" t="n"/>
      <c r="B19" s="146" t="n"/>
    </row>
    <row r="20">
      <c r="A20" s="146" t="n"/>
      <c r="B20" s="146" t="n"/>
    </row>
    <row r="21">
      <c r="A21" s="146" t="n"/>
      <c r="B21" s="146" t="n"/>
    </row>
    <row r="22">
      <c r="A22" s="146" t="n"/>
      <c r="B22" s="146" t="n"/>
    </row>
    <row r="23">
      <c r="A23" s="146" t="n"/>
      <c r="B23" s="146" t="n"/>
    </row>
    <row r="24">
      <c r="A24" s="146" t="n"/>
      <c r="B24" s="146" t="n"/>
    </row>
    <row r="25">
      <c r="A25" s="146" t="n"/>
      <c r="B25" s="146" t="n"/>
    </row>
    <row r="26">
      <c r="A26" s="146" t="n"/>
      <c r="B26" s="146" t="n"/>
    </row>
    <row r="27">
      <c r="A27" s="146" t="n"/>
      <c r="B27" s="146" t="n"/>
    </row>
    <row r="28">
      <c r="A28" s="146" t="n"/>
      <c r="B28" s="146" t="n"/>
    </row>
    <row r="29">
      <c r="A29" s="146" t="n"/>
      <c r="B29" s="146" t="n"/>
    </row>
    <row r="30">
      <c r="A30" s="146" t="n"/>
      <c r="B30" s="146" t="n"/>
    </row>
    <row r="31">
      <c r="A31" s="146" t="n"/>
      <c r="B31" s="146" t="n"/>
    </row>
    <row r="32">
      <c r="A32" s="146" t="n"/>
      <c r="B32" s="146" t="n"/>
    </row>
    <row r="33">
      <c r="A33" s="146" t="n"/>
      <c r="B33" s="146" t="n"/>
    </row>
    <row r="34">
      <c r="A34" s="146" t="n"/>
      <c r="B34" s="146" t="n"/>
    </row>
    <row r="35">
      <c r="A35" s="146" t="n"/>
      <c r="B35" s="146" t="n"/>
    </row>
    <row r="36">
      <c r="A36" s="146" t="n"/>
      <c r="B36" s="146" t="n"/>
    </row>
    <row r="37">
      <c r="A37" s="146" t="n"/>
      <c r="B37" s="146" t="n"/>
    </row>
    <row r="38">
      <c r="A38" s="146" t="n"/>
      <c r="B38" s="146" t="n"/>
    </row>
    <row r="39">
      <c r="A39" s="146" t="n"/>
      <c r="B39" s="146" t="n"/>
    </row>
    <row r="40">
      <c r="A40" s="146" t="n"/>
      <c r="B40" s="146" t="n"/>
    </row>
    <row r="41">
      <c r="A41" s="146" t="n"/>
      <c r="B41" s="146" t="n"/>
    </row>
    <row r="42">
      <c r="A42" s="146" t="n"/>
      <c r="B42" s="146" t="n"/>
    </row>
    <row r="43">
      <c r="A43" s="146" t="n"/>
      <c r="B43" s="146" t="n"/>
    </row>
    <row r="44">
      <c r="A44" s="146" t="n"/>
      <c r="B44" s="146" t="n"/>
    </row>
    <row r="45">
      <c r="A45" s="146" t="n"/>
      <c r="B45" s="146" t="n"/>
    </row>
    <row r="46">
      <c r="A46" s="146" t="n"/>
      <c r="B46" s="146" t="n"/>
    </row>
    <row r="47">
      <c r="A47" s="146" t="n"/>
      <c r="B47" s="146" t="n"/>
    </row>
    <row r="48">
      <c r="A48" s="146" t="n"/>
      <c r="B48" s="146" t="n"/>
    </row>
    <row r="49">
      <c r="A49" s="146" t="n"/>
      <c r="B49" s="146" t="n"/>
    </row>
    <row r="50">
      <c r="A50" s="146" t="n"/>
      <c r="B50" s="146" t="n"/>
    </row>
  </sheetData>
  <pageMargins left="0.7" right="0.7" top="0.75" bottom="0.75" header="0.3" footer="0.3"/>
  <pageSetup orientation="landscape" paperSize="9" scale="7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2" sqref="A12"/>
    </sheetView>
  </sheetViews>
  <sheetFormatPr baseColWidth="8" defaultColWidth="8.796875" defaultRowHeight="17.4"/>
  <cols>
    <col width="86" customWidth="1" style="222" min="1" max="1"/>
    <col width="43.296875" customWidth="1" style="222" min="2" max="2"/>
  </cols>
  <sheetData>
    <row r="1" ht="35.55" customHeight="1" s="222">
      <c r="A1" s="1" t="inlineStr">
        <is>
          <t>개발요청 내용</t>
        </is>
      </c>
      <c r="B1" s="1" t="inlineStr">
        <is>
          <t>비고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신지훈</dc:creator>
  <dcterms:created xsi:type="dcterms:W3CDTF">2025-05-28T06:58:03Z</dcterms:created>
  <dcterms:modified xsi:type="dcterms:W3CDTF">2026-05-20T00:58:26Z</dcterms:modified>
  <cp:lastModifiedBy>김예종</cp:lastModifiedBy>
  <cp:lastPrinted>2026-02-10T02:11:13Z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0x01010011A88666F241D94A90F3405EDFD4914C</vt:lpwstr>
  </property>
  <property name="MediaServiceImageTags" fmtid="{D5CDD505-2E9C-101B-9397-08002B2CF9AE}" pid="3">
    <vt:lpwstr/>
  </property>
</Properties>
</file>